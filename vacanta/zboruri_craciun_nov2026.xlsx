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s-intors" sheetId="1" state="visible" r:id="rId1"/>
    <sheet xmlns:r="http://schemas.openxmlformats.org/officeDocument/2006/relationships" name="Combinatii (alt oras)" sheetId="2" state="visible" r:id="rId2"/>
    <sheet xmlns:r="http://schemas.openxmlformats.org/officeDocument/2006/relationships" name="Top 10" sheetId="3" state="visible" r:id="rId3"/>
    <sheet xmlns:r="http://schemas.openxmlformats.org/officeDocument/2006/relationships" name="Sfaturi" sheetId="4" state="visible" r:id="rId4"/>
  </sheets>
  <definedNames>
    <definedName name="_xlnm._FilterDatabase" localSheetId="0" hidden="1">'Dus-intors'!$A$3:$T$39</definedName>
    <definedName name="_xlnm._FilterDatabase" localSheetId="1" hidden="1">'Combinatii (alt oras)'!$A$3:$L$48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3" borderId="1" pivotButton="0" quotePrefix="0" xfId="0"/>
    <xf numFmtId="3" fontId="0" fillId="4" borderId="1" pivotButton="0" quotePrefix="0" xfId="0"/>
    <xf numFmtId="0" fontId="3" fillId="0" borderId="1" pivotButton="0" quotePrefix="0" xfId="0"/>
    <xf numFmtId="0" fontId="0" fillId="4" borderId="1" pivotButton="0" quotePrefix="0" xfId="0"/>
    <xf numFmtId="3" fontId="0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travel/flights?q=Flights%20from%20BUH%20to%20FMM%20on%202026-11-26%20one%20way" TargetMode="External" Id="rId1"/><Relationship Type="http://schemas.openxmlformats.org/officeDocument/2006/relationships/hyperlink" Target="https://www.google.com/travel/flights?q=Flights%20from%20BUH%20to%20FMM%20on%202026-11-27%20one%20way" TargetMode="External" Id="rId2"/><Relationship Type="http://schemas.openxmlformats.org/officeDocument/2006/relationships/hyperlink" Target="https://www.google.com/travel/flights?q=Flights%20from%20FMM%20to%20BUH%20on%202026-11-30%20one%20way" TargetMode="External" Id="rId3"/><Relationship Type="http://schemas.openxmlformats.org/officeDocument/2006/relationships/hyperlink" Target="https://www.google.com/travel/flights?q=Flights%20from%20FMM%20to%20BUH%20on%202026-12-01%20one%20way" TargetMode="External" Id="rId4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FMM" TargetMode="External" Id="rId5"/><Relationship Type="http://schemas.openxmlformats.org/officeDocument/2006/relationships/hyperlink" Target="https://wizzair.com/ro-ro/booking/select-flight/OTP/FMM/2026-11-26/null/1/0/0/null" TargetMode="External" Id="rId6"/><Relationship Type="http://schemas.openxmlformats.org/officeDocument/2006/relationships/hyperlink" Target="https://www.google.com/travel/flights?q=Flights%20from%20BUH%20to%20MUC%20on%202026-11-26%20one%20way" TargetMode="External" Id="rId7"/><Relationship Type="http://schemas.openxmlformats.org/officeDocument/2006/relationships/hyperlink" Target="https://www.google.com/travel/flights?q=Flights%20from%20BUH%20to%20MUC%20on%202026-11-27%20one%20way" TargetMode="External" Id="rId8"/><Relationship Type="http://schemas.openxmlformats.org/officeDocument/2006/relationships/hyperlink" Target="https://www.google.com/travel/flights?q=Flights%20from%20MUC%20to%20BUH%20on%202026-11-30%20one%20way" TargetMode="External" Id="rId9"/><Relationship Type="http://schemas.openxmlformats.org/officeDocument/2006/relationships/hyperlink" Target="https://www.google.com/travel/flights?q=Flights%20from%20MUC%20to%20BUH%20on%202026-12-01%20one%20way" TargetMode="External" Id="rId10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MUC" TargetMode="External" Id="rId11"/><Relationship Type="http://schemas.openxmlformats.org/officeDocument/2006/relationships/hyperlink" Target="https://wizzair.com/ro-ro/booking/select-flight/OTP/MUC/2026-11-26/null/1/0/0/null" TargetMode="External" Id="rId12"/><Relationship Type="http://schemas.openxmlformats.org/officeDocument/2006/relationships/hyperlink" Target="https://www.google.com/travel/flights?q=Flights%20from%20BUH%20to%20NUE%20on%202026-11-26%20one%20way" TargetMode="External" Id="rId13"/><Relationship Type="http://schemas.openxmlformats.org/officeDocument/2006/relationships/hyperlink" Target="https://www.google.com/travel/flights?q=Flights%20from%20BUH%20to%20NUE%20on%202026-11-27%20one%20way" TargetMode="External" Id="rId14"/><Relationship Type="http://schemas.openxmlformats.org/officeDocument/2006/relationships/hyperlink" Target="https://www.google.com/travel/flights?q=Flights%20from%20NUE%20to%20BUH%20on%202026-11-30%20one%20way" TargetMode="External" Id="rId15"/><Relationship Type="http://schemas.openxmlformats.org/officeDocument/2006/relationships/hyperlink" Target="https://www.google.com/travel/flights?q=Flights%20from%20NUE%20to%20BUH%20on%202026-12-01%20one%20way" TargetMode="External" Id="rId16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NUE" TargetMode="External" Id="rId17"/><Relationship Type="http://schemas.openxmlformats.org/officeDocument/2006/relationships/hyperlink" Target="https://wizzair.com/ro-ro/booking/select-flight/OTP/NUE/2026-11-26/null/1/0/0/null" TargetMode="External" Id="rId18"/><Relationship Type="http://schemas.openxmlformats.org/officeDocument/2006/relationships/hyperlink" Target="https://www.google.com/travel/flights?q=Flights%20from%20BUH%20to%20FKB%20on%202026-11-26%20one%20way" TargetMode="External" Id="rId19"/><Relationship Type="http://schemas.openxmlformats.org/officeDocument/2006/relationships/hyperlink" Target="https://www.google.com/travel/flights?q=Flights%20from%20BUH%20to%20FKB%20on%202026-11-27%20one%20way" TargetMode="External" Id="rId20"/><Relationship Type="http://schemas.openxmlformats.org/officeDocument/2006/relationships/hyperlink" Target="https://www.google.com/travel/flights?q=Flights%20from%20FKB%20to%20BUH%20on%202026-11-30%20one%20way" TargetMode="External" Id="rId21"/><Relationship Type="http://schemas.openxmlformats.org/officeDocument/2006/relationships/hyperlink" Target="https://www.google.com/travel/flights?q=Flights%20from%20FKB%20to%20BUH%20on%202026-12-01%20one%20way" TargetMode="External" Id="rId22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FKB" TargetMode="External" Id="rId23"/><Relationship Type="http://schemas.openxmlformats.org/officeDocument/2006/relationships/hyperlink" Target="https://wizzair.com/ro-ro/booking/select-flight/OTP/FKB/2026-11-26/null/1/0/0/null" TargetMode="External" Id="rId24"/><Relationship Type="http://schemas.openxmlformats.org/officeDocument/2006/relationships/hyperlink" Target="https://www.google.com/travel/flights?q=Flights%20from%20BUH%20to%20HHN%20on%202026-11-26%20one%20way" TargetMode="External" Id="rId25"/><Relationship Type="http://schemas.openxmlformats.org/officeDocument/2006/relationships/hyperlink" Target="https://www.google.com/travel/flights?q=Flights%20from%20BUH%20to%20HHN%20on%202026-11-27%20one%20way" TargetMode="External" Id="rId26"/><Relationship Type="http://schemas.openxmlformats.org/officeDocument/2006/relationships/hyperlink" Target="https://www.google.com/travel/flights?q=Flights%20from%20HHN%20to%20BUH%20on%202026-11-30%20one%20way" TargetMode="External" Id="rId27"/><Relationship Type="http://schemas.openxmlformats.org/officeDocument/2006/relationships/hyperlink" Target="https://www.google.com/travel/flights?q=Flights%20from%20HHN%20to%20BUH%20on%202026-12-01%20one%20way" TargetMode="External" Id="rId28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HHN" TargetMode="External" Id="rId29"/><Relationship Type="http://schemas.openxmlformats.org/officeDocument/2006/relationships/hyperlink" Target="https://wizzair.com/ro-ro/booking/select-flight/OTP/HHN/2026-11-26/null/1/0/0/null" TargetMode="External" Id="rId30"/><Relationship Type="http://schemas.openxmlformats.org/officeDocument/2006/relationships/hyperlink" Target="https://www.google.com/travel/flights?q=Flights%20from%20BUH%20to%20FRA%20on%202026-11-26%20one%20way" TargetMode="External" Id="rId31"/><Relationship Type="http://schemas.openxmlformats.org/officeDocument/2006/relationships/hyperlink" Target="https://www.google.com/travel/flights?q=Flights%20from%20BUH%20to%20FRA%20on%202026-11-27%20one%20way" TargetMode="External" Id="rId32"/><Relationship Type="http://schemas.openxmlformats.org/officeDocument/2006/relationships/hyperlink" Target="https://www.google.com/travel/flights?q=Flights%20from%20FRA%20to%20BUH%20on%202026-11-30%20one%20way" TargetMode="External" Id="rId33"/><Relationship Type="http://schemas.openxmlformats.org/officeDocument/2006/relationships/hyperlink" Target="https://www.google.com/travel/flights?q=Flights%20from%20FRA%20to%20BUH%20on%202026-12-01%20one%20way" TargetMode="External" Id="rId34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FRA" TargetMode="External" Id="rId35"/><Relationship Type="http://schemas.openxmlformats.org/officeDocument/2006/relationships/hyperlink" Target="https://wizzair.com/ro-ro/booking/select-flight/OTP/FRA/2026-11-26/null/1/0/0/null" TargetMode="External" Id="rId36"/><Relationship Type="http://schemas.openxmlformats.org/officeDocument/2006/relationships/hyperlink" Target="https://www.google.com/travel/flights?q=Flights%20from%20BUH%20to%20CGN%20on%202026-11-26%20one%20way" TargetMode="External" Id="rId37"/><Relationship Type="http://schemas.openxmlformats.org/officeDocument/2006/relationships/hyperlink" Target="https://www.google.com/travel/flights?q=Flights%20from%20BUH%20to%20CGN%20on%202026-11-27%20one%20way" TargetMode="External" Id="rId38"/><Relationship Type="http://schemas.openxmlformats.org/officeDocument/2006/relationships/hyperlink" Target="https://www.google.com/travel/flights?q=Flights%20from%20CGN%20to%20BUH%20on%202026-11-30%20one%20way" TargetMode="External" Id="rId39"/><Relationship Type="http://schemas.openxmlformats.org/officeDocument/2006/relationships/hyperlink" Target="https://www.google.com/travel/flights?q=Flights%20from%20CGN%20to%20BUH%20on%202026-12-01%20one%20way" TargetMode="External" Id="rId40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CGN" TargetMode="External" Id="rId41"/><Relationship Type="http://schemas.openxmlformats.org/officeDocument/2006/relationships/hyperlink" Target="https://wizzair.com/ro-ro/booking/select-flight/OTP/CGN/2026-11-26/null/1/0/0/null" TargetMode="External" Id="rId42"/><Relationship Type="http://schemas.openxmlformats.org/officeDocument/2006/relationships/hyperlink" Target="https://www.google.com/travel/flights?q=Flights%20from%20BUH%20to%20DTM%20on%202026-11-26%20one%20way" TargetMode="External" Id="rId43"/><Relationship Type="http://schemas.openxmlformats.org/officeDocument/2006/relationships/hyperlink" Target="https://www.google.com/travel/flights?q=Flights%20from%20BUH%20to%20DTM%20on%202026-11-27%20one%20way" TargetMode="External" Id="rId44"/><Relationship Type="http://schemas.openxmlformats.org/officeDocument/2006/relationships/hyperlink" Target="https://www.google.com/travel/flights?q=Flights%20from%20DTM%20to%20BUH%20on%202026-11-30%20one%20way" TargetMode="External" Id="rId45"/><Relationship Type="http://schemas.openxmlformats.org/officeDocument/2006/relationships/hyperlink" Target="https://www.google.com/travel/flights?q=Flights%20from%20DTM%20to%20BUH%20on%202026-12-01%20one%20way" TargetMode="External" Id="rId46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DTM" TargetMode="External" Id="rId47"/><Relationship Type="http://schemas.openxmlformats.org/officeDocument/2006/relationships/hyperlink" Target="https://wizzair.com/ro-ro/booking/select-flight/OTP/DTM/2026-11-26/null/1/0/0/null" TargetMode="External" Id="rId48"/><Relationship Type="http://schemas.openxmlformats.org/officeDocument/2006/relationships/hyperlink" Target="https://www.google.com/travel/flights?q=Flights%20from%20BUH%20to%20HAM%20on%202026-11-26%20one%20way" TargetMode="External" Id="rId49"/><Relationship Type="http://schemas.openxmlformats.org/officeDocument/2006/relationships/hyperlink" Target="https://www.google.com/travel/flights?q=Flights%20from%20BUH%20to%20HAM%20on%202026-11-27%20one%20way" TargetMode="External" Id="rId50"/><Relationship Type="http://schemas.openxmlformats.org/officeDocument/2006/relationships/hyperlink" Target="https://www.google.com/travel/flights?q=Flights%20from%20HAM%20to%20BUH%20on%202026-11-30%20one%20way" TargetMode="External" Id="rId51"/><Relationship Type="http://schemas.openxmlformats.org/officeDocument/2006/relationships/hyperlink" Target="https://www.google.com/travel/flights?q=Flights%20from%20HAM%20to%20BUH%20on%202026-12-01%20one%20way" TargetMode="External" Id="rId52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HAM" TargetMode="External" Id="rId53"/><Relationship Type="http://schemas.openxmlformats.org/officeDocument/2006/relationships/hyperlink" Target="https://wizzair.com/ro-ro/booking/select-flight/OTP/HAM/2026-11-26/null/1/0/0/null" TargetMode="External" Id="rId54"/><Relationship Type="http://schemas.openxmlformats.org/officeDocument/2006/relationships/hyperlink" Target="https://www.google.com/travel/flights?q=Flights%20from%20BUH%20to%20BER%20on%202026-11-26%20one%20way" TargetMode="External" Id="rId55"/><Relationship Type="http://schemas.openxmlformats.org/officeDocument/2006/relationships/hyperlink" Target="https://www.google.com/travel/flights?q=Flights%20from%20BUH%20to%20BER%20on%202026-11-27%20one%20way" TargetMode="External" Id="rId56"/><Relationship Type="http://schemas.openxmlformats.org/officeDocument/2006/relationships/hyperlink" Target="https://www.google.com/travel/flights?q=Flights%20from%20BER%20to%20BUH%20on%202026-11-30%20one%20way" TargetMode="External" Id="rId57"/><Relationship Type="http://schemas.openxmlformats.org/officeDocument/2006/relationships/hyperlink" Target="https://www.google.com/travel/flights?q=Flights%20from%20BER%20to%20BUH%20on%202026-12-01%20one%20way" TargetMode="External" Id="rId58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BER" TargetMode="External" Id="rId59"/><Relationship Type="http://schemas.openxmlformats.org/officeDocument/2006/relationships/hyperlink" Target="https://wizzair.com/ro-ro/booking/select-flight/OTP/BER/2026-11-26/null/1/0/0/null" TargetMode="External" Id="rId60"/><Relationship Type="http://schemas.openxmlformats.org/officeDocument/2006/relationships/hyperlink" Target="https://www.google.com/travel/flights?q=Flights%20from%20BUH%20to%20STR%20on%202026-11-26%20one%20way" TargetMode="External" Id="rId61"/><Relationship Type="http://schemas.openxmlformats.org/officeDocument/2006/relationships/hyperlink" Target="https://www.google.com/travel/flights?q=Flights%20from%20BUH%20to%20STR%20on%202026-11-27%20one%20way" TargetMode="External" Id="rId62"/><Relationship Type="http://schemas.openxmlformats.org/officeDocument/2006/relationships/hyperlink" Target="https://www.google.com/travel/flights?q=Flights%20from%20STR%20to%20BUH%20on%202026-11-30%20one%20way" TargetMode="External" Id="rId63"/><Relationship Type="http://schemas.openxmlformats.org/officeDocument/2006/relationships/hyperlink" Target="https://www.google.com/travel/flights?q=Flights%20from%20STR%20to%20BUH%20on%202026-12-01%20one%20way" TargetMode="External" Id="rId64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STR" TargetMode="External" Id="rId65"/><Relationship Type="http://schemas.openxmlformats.org/officeDocument/2006/relationships/hyperlink" Target="https://wizzair.com/ro-ro/booking/select-flight/OTP/STR/2026-11-26/null/1/0/0/null" TargetMode="External" Id="rId66"/><Relationship Type="http://schemas.openxmlformats.org/officeDocument/2006/relationships/hyperlink" Target="https://www.google.com/travel/flights?q=Flights%20from%20BUH%20to%20BSL%20on%202026-11-26%20one%20way" TargetMode="External" Id="rId67"/><Relationship Type="http://schemas.openxmlformats.org/officeDocument/2006/relationships/hyperlink" Target="https://www.google.com/travel/flights?q=Flights%20from%20BUH%20to%20BSL%20on%202026-11-27%20one%20way" TargetMode="External" Id="rId68"/><Relationship Type="http://schemas.openxmlformats.org/officeDocument/2006/relationships/hyperlink" Target="https://www.google.com/travel/flights?q=Flights%20from%20BSL%20to%20BUH%20on%202026-11-30%20one%20way" TargetMode="External" Id="rId69"/><Relationship Type="http://schemas.openxmlformats.org/officeDocument/2006/relationships/hyperlink" Target="https://www.google.com/travel/flights?q=Flights%20from%20BSL%20to%20BUH%20on%202026-12-01%20one%20way" TargetMode="External" Id="rId70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BSL" TargetMode="External" Id="rId71"/><Relationship Type="http://schemas.openxmlformats.org/officeDocument/2006/relationships/hyperlink" Target="https://wizzair.com/ro-ro/booking/select-flight/OTP/BSL/2026-11-26/null/1/0/0/null" TargetMode="External" Id="rId72"/><Relationship Type="http://schemas.openxmlformats.org/officeDocument/2006/relationships/hyperlink" Target="https://www.google.com/travel/flights?q=Flights%20from%20BUH%20to%20ZRH%20on%202026-11-26%20one%20way" TargetMode="External" Id="rId73"/><Relationship Type="http://schemas.openxmlformats.org/officeDocument/2006/relationships/hyperlink" Target="https://www.google.com/travel/flights?q=Flights%20from%20BUH%20to%20ZRH%20on%202026-11-27%20one%20way" TargetMode="External" Id="rId74"/><Relationship Type="http://schemas.openxmlformats.org/officeDocument/2006/relationships/hyperlink" Target="https://www.google.com/travel/flights?q=Flights%20from%20ZRH%20to%20BUH%20on%202026-11-30%20one%20way" TargetMode="External" Id="rId75"/><Relationship Type="http://schemas.openxmlformats.org/officeDocument/2006/relationships/hyperlink" Target="https://www.google.com/travel/flights?q=Flights%20from%20ZRH%20to%20BUH%20on%202026-12-01%20one%20way" TargetMode="External" Id="rId76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ZRH" TargetMode="External" Id="rId77"/><Relationship Type="http://schemas.openxmlformats.org/officeDocument/2006/relationships/hyperlink" Target="https://wizzair.com/ro-ro/booking/select-flight/OTP/ZRH/2026-11-26/null/1/0/0/null" TargetMode="External" Id="rId78"/><Relationship Type="http://schemas.openxmlformats.org/officeDocument/2006/relationships/hyperlink" Target="https://www.google.com/travel/flights?q=Flights%20from%20BUH%20to%20GVA%20on%202026-11-26%20one%20way" TargetMode="External" Id="rId79"/><Relationship Type="http://schemas.openxmlformats.org/officeDocument/2006/relationships/hyperlink" Target="https://www.google.com/travel/flights?q=Flights%20from%20BUH%20to%20GVA%20on%202026-11-27%20one%20way" TargetMode="External" Id="rId80"/><Relationship Type="http://schemas.openxmlformats.org/officeDocument/2006/relationships/hyperlink" Target="https://www.google.com/travel/flights?q=Flights%20from%20GVA%20to%20BUH%20on%202026-11-30%20one%20way" TargetMode="External" Id="rId81"/><Relationship Type="http://schemas.openxmlformats.org/officeDocument/2006/relationships/hyperlink" Target="https://www.google.com/travel/flights?q=Flights%20from%20GVA%20to%20BUH%20on%202026-12-01%20one%20way" TargetMode="External" Id="rId82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GVA" TargetMode="External" Id="rId83"/><Relationship Type="http://schemas.openxmlformats.org/officeDocument/2006/relationships/hyperlink" Target="https://wizzair.com/ro-ro/booking/select-flight/OTP/GVA/2026-11-26/null/1/0/0/null" TargetMode="External" Id="rId84"/><Relationship Type="http://schemas.openxmlformats.org/officeDocument/2006/relationships/hyperlink" Target="https://www.google.com/travel/flights?q=Flights%20from%20BUH%20to%20SXB%20on%202026-11-26%20one%20way" TargetMode="External" Id="rId85"/><Relationship Type="http://schemas.openxmlformats.org/officeDocument/2006/relationships/hyperlink" Target="https://www.google.com/travel/flights?q=Flights%20from%20BUH%20to%20SXB%20on%202026-11-27%20one%20way" TargetMode="External" Id="rId86"/><Relationship Type="http://schemas.openxmlformats.org/officeDocument/2006/relationships/hyperlink" Target="https://www.google.com/travel/flights?q=Flights%20from%20SXB%20to%20BUH%20on%202026-11-30%20one%20way" TargetMode="External" Id="rId87"/><Relationship Type="http://schemas.openxmlformats.org/officeDocument/2006/relationships/hyperlink" Target="https://www.google.com/travel/flights?q=Flights%20from%20SXB%20to%20BUH%20on%202026-12-01%20one%20way" TargetMode="External" Id="rId88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SXB" TargetMode="External" Id="rId89"/><Relationship Type="http://schemas.openxmlformats.org/officeDocument/2006/relationships/hyperlink" Target="https://wizzair.com/ro-ro/booking/select-flight/OTP/SXB/2026-11-26/null/1/0/0/null" TargetMode="External" Id="rId90"/><Relationship Type="http://schemas.openxmlformats.org/officeDocument/2006/relationships/hyperlink" Target="https://www.google.com/travel/flights?q=Flights%20from%20BUH%20to%20BVA%20on%202026-11-26%20one%20way" TargetMode="External" Id="rId91"/><Relationship Type="http://schemas.openxmlformats.org/officeDocument/2006/relationships/hyperlink" Target="https://www.google.com/travel/flights?q=Flights%20from%20BUH%20to%20BVA%20on%202026-11-27%20one%20way" TargetMode="External" Id="rId92"/><Relationship Type="http://schemas.openxmlformats.org/officeDocument/2006/relationships/hyperlink" Target="https://www.google.com/travel/flights?q=Flights%20from%20BVA%20to%20BUH%20on%202026-11-30%20one%20way" TargetMode="External" Id="rId93"/><Relationship Type="http://schemas.openxmlformats.org/officeDocument/2006/relationships/hyperlink" Target="https://www.google.com/travel/flights?q=Flights%20from%20BVA%20to%20BUH%20on%202026-12-01%20one%20way" TargetMode="External" Id="rId94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BVA" TargetMode="External" Id="rId95"/><Relationship Type="http://schemas.openxmlformats.org/officeDocument/2006/relationships/hyperlink" Target="https://wizzair.com/ro-ro/booking/select-flight/OTP/BVA/2026-11-26/null/1/0/0/null" TargetMode="External" Id="rId96"/><Relationship Type="http://schemas.openxmlformats.org/officeDocument/2006/relationships/hyperlink" Target="https://www.google.com/travel/flights?q=Flights%20from%20BUH%20to%20ORY%20on%202026-11-26%20one%20way" TargetMode="External" Id="rId97"/><Relationship Type="http://schemas.openxmlformats.org/officeDocument/2006/relationships/hyperlink" Target="https://www.google.com/travel/flights?q=Flights%20from%20BUH%20to%20ORY%20on%202026-11-27%20one%20way" TargetMode="External" Id="rId98"/><Relationship Type="http://schemas.openxmlformats.org/officeDocument/2006/relationships/hyperlink" Target="https://www.google.com/travel/flights?q=Flights%20from%20ORY%20to%20BUH%20on%202026-11-30%20one%20way" TargetMode="External" Id="rId99"/><Relationship Type="http://schemas.openxmlformats.org/officeDocument/2006/relationships/hyperlink" Target="https://www.google.com/travel/flights?q=Flights%20from%20ORY%20to%20BUH%20on%202026-12-01%20one%20way" TargetMode="External" Id="rId100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ORY" TargetMode="External" Id="rId101"/><Relationship Type="http://schemas.openxmlformats.org/officeDocument/2006/relationships/hyperlink" Target="https://wizzair.com/ro-ro/booking/select-flight/OTP/ORY/2026-11-26/null/1/0/0/null" TargetMode="External" Id="rId102"/><Relationship Type="http://schemas.openxmlformats.org/officeDocument/2006/relationships/hyperlink" Target="https://www.google.com/travel/flights?q=Flights%20from%20BUH%20to%20LYS%20on%202026-11-26%20one%20way" TargetMode="External" Id="rId103"/><Relationship Type="http://schemas.openxmlformats.org/officeDocument/2006/relationships/hyperlink" Target="https://www.google.com/travel/flights?q=Flights%20from%20BUH%20to%20LYS%20on%202026-11-27%20one%20way" TargetMode="External" Id="rId104"/><Relationship Type="http://schemas.openxmlformats.org/officeDocument/2006/relationships/hyperlink" Target="https://www.google.com/travel/flights?q=Flights%20from%20LYS%20to%20BUH%20on%202026-11-30%20one%20way" TargetMode="External" Id="rId105"/><Relationship Type="http://schemas.openxmlformats.org/officeDocument/2006/relationships/hyperlink" Target="https://www.google.com/travel/flights?q=Flights%20from%20LYS%20to%20BUH%20on%202026-12-01%20one%20way" TargetMode="External" Id="rId106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LYS" TargetMode="External" Id="rId107"/><Relationship Type="http://schemas.openxmlformats.org/officeDocument/2006/relationships/hyperlink" Target="https://wizzair.com/ro-ro/booking/select-flight/OTP/LYS/2026-11-26/null/1/0/0/null" TargetMode="External" Id="rId108"/><Relationship Type="http://schemas.openxmlformats.org/officeDocument/2006/relationships/hyperlink" Target="https://www.google.com/travel/flights?q=Flights%20from%20BUH%20to%20NCE%20on%202026-11-26%20one%20way" TargetMode="External" Id="rId109"/><Relationship Type="http://schemas.openxmlformats.org/officeDocument/2006/relationships/hyperlink" Target="https://www.google.com/travel/flights?q=Flights%20from%20BUH%20to%20NCE%20on%202026-11-27%20one%20way" TargetMode="External" Id="rId110"/><Relationship Type="http://schemas.openxmlformats.org/officeDocument/2006/relationships/hyperlink" Target="https://www.google.com/travel/flights?q=Flights%20from%20NCE%20to%20BUH%20on%202026-11-30%20one%20way" TargetMode="External" Id="rId111"/><Relationship Type="http://schemas.openxmlformats.org/officeDocument/2006/relationships/hyperlink" Target="https://www.google.com/travel/flights?q=Flights%20from%20NCE%20to%20BUH%20on%202026-12-01%20one%20way" TargetMode="External" Id="rId112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NCE" TargetMode="External" Id="rId113"/><Relationship Type="http://schemas.openxmlformats.org/officeDocument/2006/relationships/hyperlink" Target="https://wizzair.com/ro-ro/booking/select-flight/OTP/NCE/2026-11-26/null/1/0/0/null" TargetMode="External" Id="rId114"/><Relationship Type="http://schemas.openxmlformats.org/officeDocument/2006/relationships/hyperlink" Target="https://www.google.com/travel/flights?q=Flights%20from%20BUH%20to%20VIE%20on%202026-11-26%20one%20way" TargetMode="External" Id="rId115"/><Relationship Type="http://schemas.openxmlformats.org/officeDocument/2006/relationships/hyperlink" Target="https://www.google.com/travel/flights?q=Flights%20from%20BUH%20to%20VIE%20on%202026-11-27%20one%20way" TargetMode="External" Id="rId116"/><Relationship Type="http://schemas.openxmlformats.org/officeDocument/2006/relationships/hyperlink" Target="https://www.google.com/travel/flights?q=Flights%20from%20VIE%20to%20BUH%20on%202026-11-30%20one%20way" TargetMode="External" Id="rId117"/><Relationship Type="http://schemas.openxmlformats.org/officeDocument/2006/relationships/hyperlink" Target="https://www.google.com/travel/flights?q=Flights%20from%20VIE%20to%20BUH%20on%202026-12-01%20one%20way" TargetMode="External" Id="rId118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VIE" TargetMode="External" Id="rId119"/><Relationship Type="http://schemas.openxmlformats.org/officeDocument/2006/relationships/hyperlink" Target="https://wizzair.com/ro-ro/booking/select-flight/OTP/VIE/2026-11-26/null/1/0/0/null" TargetMode="External" Id="rId120"/><Relationship Type="http://schemas.openxmlformats.org/officeDocument/2006/relationships/hyperlink" Target="https://www.google.com/travel/flights?q=Flights%20from%20BUH%20to%20SZG%20on%202026-11-26%20one%20way" TargetMode="External" Id="rId121"/><Relationship Type="http://schemas.openxmlformats.org/officeDocument/2006/relationships/hyperlink" Target="https://www.google.com/travel/flights?q=Flights%20from%20BUH%20to%20SZG%20on%202026-11-27%20one%20way" TargetMode="External" Id="rId122"/><Relationship Type="http://schemas.openxmlformats.org/officeDocument/2006/relationships/hyperlink" Target="https://www.google.com/travel/flights?q=Flights%20from%20SZG%20to%20BUH%20on%202026-11-30%20one%20way" TargetMode="External" Id="rId123"/><Relationship Type="http://schemas.openxmlformats.org/officeDocument/2006/relationships/hyperlink" Target="https://www.google.com/travel/flights?q=Flights%20from%20SZG%20to%20BUH%20on%202026-12-01%20one%20way" TargetMode="External" Id="rId124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SZG" TargetMode="External" Id="rId125"/><Relationship Type="http://schemas.openxmlformats.org/officeDocument/2006/relationships/hyperlink" Target="https://wizzair.com/ro-ro/booking/select-flight/OTP/SZG/2026-11-26/null/1/0/0/null" TargetMode="External" Id="rId126"/><Relationship Type="http://schemas.openxmlformats.org/officeDocument/2006/relationships/hyperlink" Target="https://www.google.com/travel/flights?q=Flights%20from%20BUH%20to%20INN%20on%202026-11-26%20one%20way" TargetMode="External" Id="rId127"/><Relationship Type="http://schemas.openxmlformats.org/officeDocument/2006/relationships/hyperlink" Target="https://www.google.com/travel/flights?q=Flights%20from%20BUH%20to%20INN%20on%202026-11-27%20one%20way" TargetMode="External" Id="rId128"/><Relationship Type="http://schemas.openxmlformats.org/officeDocument/2006/relationships/hyperlink" Target="https://www.google.com/travel/flights?q=Flights%20from%20INN%20to%20BUH%20on%202026-11-30%20one%20way" TargetMode="External" Id="rId129"/><Relationship Type="http://schemas.openxmlformats.org/officeDocument/2006/relationships/hyperlink" Target="https://www.google.com/travel/flights?q=Flights%20from%20INN%20to%20BUH%20on%202026-12-01%20one%20way" TargetMode="External" Id="rId130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INN" TargetMode="External" Id="rId131"/><Relationship Type="http://schemas.openxmlformats.org/officeDocument/2006/relationships/hyperlink" Target="https://wizzair.com/ro-ro/booking/select-flight/OTP/INN/2026-11-26/null/1/0/0/null" TargetMode="External" Id="rId132"/><Relationship Type="http://schemas.openxmlformats.org/officeDocument/2006/relationships/hyperlink" Target="https://www.google.com/travel/flights?q=Flights%20from%20BUH%20to%20CRL%20on%202026-11-26%20one%20way" TargetMode="External" Id="rId133"/><Relationship Type="http://schemas.openxmlformats.org/officeDocument/2006/relationships/hyperlink" Target="https://www.google.com/travel/flights?q=Flights%20from%20BUH%20to%20CRL%20on%202026-11-27%20one%20way" TargetMode="External" Id="rId134"/><Relationship Type="http://schemas.openxmlformats.org/officeDocument/2006/relationships/hyperlink" Target="https://www.google.com/travel/flights?q=Flights%20from%20CRL%20to%20BUH%20on%202026-11-30%20one%20way" TargetMode="External" Id="rId135"/><Relationship Type="http://schemas.openxmlformats.org/officeDocument/2006/relationships/hyperlink" Target="https://www.google.com/travel/flights?q=Flights%20from%20CRL%20to%20BUH%20on%202026-12-01%20one%20way" TargetMode="External" Id="rId136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CRL" TargetMode="External" Id="rId137"/><Relationship Type="http://schemas.openxmlformats.org/officeDocument/2006/relationships/hyperlink" Target="https://wizzair.com/ro-ro/booking/select-flight/OTP/CRL/2026-11-26/null/1/0/0/null" TargetMode="External" Id="rId138"/><Relationship Type="http://schemas.openxmlformats.org/officeDocument/2006/relationships/hyperlink" Target="https://www.google.com/travel/flights?q=Flights%20from%20BUH%20to%20MST%20on%202026-11-26%20one%20way" TargetMode="External" Id="rId139"/><Relationship Type="http://schemas.openxmlformats.org/officeDocument/2006/relationships/hyperlink" Target="https://www.google.com/travel/flights?q=Flights%20from%20BUH%20to%20MST%20on%202026-11-27%20one%20way" TargetMode="External" Id="rId140"/><Relationship Type="http://schemas.openxmlformats.org/officeDocument/2006/relationships/hyperlink" Target="https://www.google.com/travel/flights?q=Flights%20from%20MST%20to%20BUH%20on%202026-11-30%20one%20way" TargetMode="External" Id="rId141"/><Relationship Type="http://schemas.openxmlformats.org/officeDocument/2006/relationships/hyperlink" Target="https://www.google.com/travel/flights?q=Flights%20from%20MST%20to%20BUH%20on%202026-12-01%20one%20way" TargetMode="External" Id="rId142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MST" TargetMode="External" Id="rId143"/><Relationship Type="http://schemas.openxmlformats.org/officeDocument/2006/relationships/hyperlink" Target="https://wizzair.com/ro-ro/booking/select-flight/OTP/MST/2026-11-26/null/1/0/0/null" TargetMode="External" Id="rId144"/><Relationship Type="http://schemas.openxmlformats.org/officeDocument/2006/relationships/hyperlink" Target="https://www.google.com/travel/flights?q=Flights%20from%20BUH%20to%20EIN%20on%202026-11-26%20one%20way" TargetMode="External" Id="rId145"/><Relationship Type="http://schemas.openxmlformats.org/officeDocument/2006/relationships/hyperlink" Target="https://www.google.com/travel/flights?q=Flights%20from%20BUH%20to%20EIN%20on%202026-11-27%20one%20way" TargetMode="External" Id="rId146"/><Relationship Type="http://schemas.openxmlformats.org/officeDocument/2006/relationships/hyperlink" Target="https://www.google.com/travel/flights?q=Flights%20from%20EIN%20to%20BUH%20on%202026-11-30%20one%20way" TargetMode="External" Id="rId147"/><Relationship Type="http://schemas.openxmlformats.org/officeDocument/2006/relationships/hyperlink" Target="https://www.google.com/travel/flights?q=Flights%20from%20EIN%20to%20BUH%20on%202026-12-01%20one%20way" TargetMode="External" Id="rId148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EIN" TargetMode="External" Id="rId149"/><Relationship Type="http://schemas.openxmlformats.org/officeDocument/2006/relationships/hyperlink" Target="https://wizzair.com/ro-ro/booking/select-flight/OTP/EIN/2026-11-26/null/1/0/0/null" TargetMode="External" Id="rId150"/><Relationship Type="http://schemas.openxmlformats.org/officeDocument/2006/relationships/hyperlink" Target="https://www.google.com/travel/flights?q=Flights%20from%20BUH%20to%20LUX%20on%202026-11-26%20one%20way" TargetMode="External" Id="rId151"/><Relationship Type="http://schemas.openxmlformats.org/officeDocument/2006/relationships/hyperlink" Target="https://www.google.com/travel/flights?q=Flights%20from%20BUH%20to%20LUX%20on%202026-11-27%20one%20way" TargetMode="External" Id="rId152"/><Relationship Type="http://schemas.openxmlformats.org/officeDocument/2006/relationships/hyperlink" Target="https://www.google.com/travel/flights?q=Flights%20from%20LUX%20to%20BUH%20on%202026-11-30%20one%20way" TargetMode="External" Id="rId153"/><Relationship Type="http://schemas.openxmlformats.org/officeDocument/2006/relationships/hyperlink" Target="https://www.google.com/travel/flights?q=Flights%20from%20LUX%20to%20BUH%20on%202026-12-01%20one%20way" TargetMode="External" Id="rId154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LUX" TargetMode="External" Id="rId155"/><Relationship Type="http://schemas.openxmlformats.org/officeDocument/2006/relationships/hyperlink" Target="https://wizzair.com/ro-ro/booking/select-flight/OTP/LUX/2026-11-26/null/1/0/0/null" TargetMode="External" Id="rId156"/><Relationship Type="http://schemas.openxmlformats.org/officeDocument/2006/relationships/hyperlink" Target="https://www.google.com/travel/flights?q=Flights%20from%20BUH%20to%20PRG%20on%202026-11-26%20one%20way" TargetMode="External" Id="rId157"/><Relationship Type="http://schemas.openxmlformats.org/officeDocument/2006/relationships/hyperlink" Target="https://www.google.com/travel/flights?q=Flights%20from%20BUH%20to%20PRG%20on%202026-11-27%20one%20way" TargetMode="External" Id="rId158"/><Relationship Type="http://schemas.openxmlformats.org/officeDocument/2006/relationships/hyperlink" Target="https://www.google.com/travel/flights?q=Flights%20from%20PRG%20to%20BUH%20on%202026-11-30%20one%20way" TargetMode="External" Id="rId159"/><Relationship Type="http://schemas.openxmlformats.org/officeDocument/2006/relationships/hyperlink" Target="https://www.google.com/travel/flights?q=Flights%20from%20PRG%20to%20BUH%20on%202026-12-01%20one%20way" TargetMode="External" Id="rId160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PRG" TargetMode="External" Id="rId161"/><Relationship Type="http://schemas.openxmlformats.org/officeDocument/2006/relationships/hyperlink" Target="https://wizzair.com/ro-ro/booking/select-flight/OTP/PRG/2026-11-26/null/1/0/0/null" TargetMode="External" Id="rId162"/><Relationship Type="http://schemas.openxmlformats.org/officeDocument/2006/relationships/hyperlink" Target="https://www.google.com/travel/flights?q=Flights%20from%20BUH%20to%20BTS%20on%202026-11-26%20one%20way" TargetMode="External" Id="rId163"/><Relationship Type="http://schemas.openxmlformats.org/officeDocument/2006/relationships/hyperlink" Target="https://www.google.com/travel/flights?q=Flights%20from%20BUH%20to%20BTS%20on%202026-11-27%20one%20way" TargetMode="External" Id="rId164"/><Relationship Type="http://schemas.openxmlformats.org/officeDocument/2006/relationships/hyperlink" Target="https://www.google.com/travel/flights?q=Flights%20from%20BTS%20to%20BUH%20on%202026-11-30%20one%20way" TargetMode="External" Id="rId165"/><Relationship Type="http://schemas.openxmlformats.org/officeDocument/2006/relationships/hyperlink" Target="https://www.google.com/travel/flights?q=Flights%20from%20BTS%20to%20BUH%20on%202026-12-01%20one%20way" TargetMode="External" Id="rId166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BTS" TargetMode="External" Id="rId167"/><Relationship Type="http://schemas.openxmlformats.org/officeDocument/2006/relationships/hyperlink" Target="https://wizzair.com/ro-ro/booking/select-flight/OTP/BTS/2026-11-26/null/1/0/0/null" TargetMode="External" Id="rId168"/><Relationship Type="http://schemas.openxmlformats.org/officeDocument/2006/relationships/hyperlink" Target="https://www.google.com/travel/flights?q=Flights%20from%20BUH%20to%20BGY%20on%202026-11-26%20one%20way" TargetMode="External" Id="rId169"/><Relationship Type="http://schemas.openxmlformats.org/officeDocument/2006/relationships/hyperlink" Target="https://www.google.com/travel/flights?q=Flights%20from%20BUH%20to%20BGY%20on%202026-11-27%20one%20way" TargetMode="External" Id="rId170"/><Relationship Type="http://schemas.openxmlformats.org/officeDocument/2006/relationships/hyperlink" Target="https://www.google.com/travel/flights?q=Flights%20from%20BGY%20to%20BUH%20on%202026-11-30%20one%20way" TargetMode="External" Id="rId171"/><Relationship Type="http://schemas.openxmlformats.org/officeDocument/2006/relationships/hyperlink" Target="https://www.google.com/travel/flights?q=Flights%20from%20BGY%20to%20BUH%20on%202026-12-01%20one%20way" TargetMode="External" Id="rId172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BGY" TargetMode="External" Id="rId173"/><Relationship Type="http://schemas.openxmlformats.org/officeDocument/2006/relationships/hyperlink" Target="https://wizzair.com/ro-ro/booking/select-flight/OTP/BGY/2026-11-26/null/1/0/0/null" TargetMode="External" Id="rId174"/><Relationship Type="http://schemas.openxmlformats.org/officeDocument/2006/relationships/hyperlink" Target="https://www.google.com/travel/flights?q=Flights%20from%20BUH%20to%20MXP%20on%202026-11-26%20one%20way" TargetMode="External" Id="rId175"/><Relationship Type="http://schemas.openxmlformats.org/officeDocument/2006/relationships/hyperlink" Target="https://www.google.com/travel/flights?q=Flights%20from%20BUH%20to%20MXP%20on%202026-11-27%20one%20way" TargetMode="External" Id="rId176"/><Relationship Type="http://schemas.openxmlformats.org/officeDocument/2006/relationships/hyperlink" Target="https://www.google.com/travel/flights?q=Flights%20from%20MXP%20to%20BUH%20on%202026-11-30%20one%20way" TargetMode="External" Id="rId177"/><Relationship Type="http://schemas.openxmlformats.org/officeDocument/2006/relationships/hyperlink" Target="https://www.google.com/travel/flights?q=Flights%20from%20MXP%20to%20BUH%20on%202026-12-01%20one%20way" TargetMode="External" Id="rId178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MXP" TargetMode="External" Id="rId179"/><Relationship Type="http://schemas.openxmlformats.org/officeDocument/2006/relationships/hyperlink" Target="https://wizzair.com/ro-ro/booking/select-flight/OTP/MXP/2026-11-26/null/1/0/0/null" TargetMode="External" Id="rId180"/><Relationship Type="http://schemas.openxmlformats.org/officeDocument/2006/relationships/hyperlink" Target="https://www.google.com/travel/flights?q=Flights%20from%20BUH%20to%20TSF%20on%202026-11-26%20one%20way" TargetMode="External" Id="rId181"/><Relationship Type="http://schemas.openxmlformats.org/officeDocument/2006/relationships/hyperlink" Target="https://www.google.com/travel/flights?q=Flights%20from%20BUH%20to%20TSF%20on%202026-11-27%20one%20way" TargetMode="External" Id="rId182"/><Relationship Type="http://schemas.openxmlformats.org/officeDocument/2006/relationships/hyperlink" Target="https://www.google.com/travel/flights?q=Flights%20from%20TSF%20to%20BUH%20on%202026-11-30%20one%20way" TargetMode="External" Id="rId183"/><Relationship Type="http://schemas.openxmlformats.org/officeDocument/2006/relationships/hyperlink" Target="https://www.google.com/travel/flights?q=Flights%20from%20TSF%20to%20BUH%20on%202026-12-01%20one%20way" TargetMode="External" Id="rId184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TSF" TargetMode="External" Id="rId185"/><Relationship Type="http://schemas.openxmlformats.org/officeDocument/2006/relationships/hyperlink" Target="https://wizzair.com/ro-ro/booking/select-flight/OTP/TSF/2026-11-26/null/1/0/0/null" TargetMode="External" Id="rId186"/><Relationship Type="http://schemas.openxmlformats.org/officeDocument/2006/relationships/hyperlink" Target="https://www.google.com/travel/flights?q=Flights%20from%20BUH%20to%20VRN%20on%202026-11-26%20one%20way" TargetMode="External" Id="rId187"/><Relationship Type="http://schemas.openxmlformats.org/officeDocument/2006/relationships/hyperlink" Target="https://www.google.com/travel/flights?q=Flights%20from%20BUH%20to%20VRN%20on%202026-11-27%20one%20way" TargetMode="External" Id="rId188"/><Relationship Type="http://schemas.openxmlformats.org/officeDocument/2006/relationships/hyperlink" Target="https://www.google.com/travel/flights?q=Flights%20from%20VRN%20to%20BUH%20on%202026-11-30%20one%20way" TargetMode="External" Id="rId189"/><Relationship Type="http://schemas.openxmlformats.org/officeDocument/2006/relationships/hyperlink" Target="https://www.google.com/travel/flights?q=Flights%20from%20VRN%20to%20BUH%20on%202026-12-01%20one%20way" TargetMode="External" Id="rId190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VRN" TargetMode="External" Id="rId191"/><Relationship Type="http://schemas.openxmlformats.org/officeDocument/2006/relationships/hyperlink" Target="https://wizzair.com/ro-ro/booking/select-flight/OTP/VRN/2026-11-26/null/1/0/0/null" TargetMode="External" Id="rId192"/><Relationship Type="http://schemas.openxmlformats.org/officeDocument/2006/relationships/hyperlink" Target="https://www.google.com/travel/flights?q=Flights%20from%20BUH%20to%20BLQ%20on%202026-11-26%20one%20way" TargetMode="External" Id="rId193"/><Relationship Type="http://schemas.openxmlformats.org/officeDocument/2006/relationships/hyperlink" Target="https://www.google.com/travel/flights?q=Flights%20from%20BUH%20to%20BLQ%20on%202026-11-27%20one%20way" TargetMode="External" Id="rId194"/><Relationship Type="http://schemas.openxmlformats.org/officeDocument/2006/relationships/hyperlink" Target="https://www.google.com/travel/flights?q=Flights%20from%20BLQ%20to%20BUH%20on%202026-11-30%20one%20way" TargetMode="External" Id="rId195"/><Relationship Type="http://schemas.openxmlformats.org/officeDocument/2006/relationships/hyperlink" Target="https://www.google.com/travel/flights?q=Flights%20from%20BLQ%20to%20BUH%20on%202026-12-01%20one%20way" TargetMode="External" Id="rId196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BLQ" TargetMode="External" Id="rId197"/><Relationship Type="http://schemas.openxmlformats.org/officeDocument/2006/relationships/hyperlink" Target="https://wizzair.com/ro-ro/booking/select-flight/OTP/BLQ/2026-11-26/null/1/0/0/null" TargetMode="External" Id="rId198"/><Relationship Type="http://schemas.openxmlformats.org/officeDocument/2006/relationships/hyperlink" Target="https://www.google.com/travel/flights?q=Flights%20from%20BUH%20to%20STN%20on%202026-11-26%20one%20way" TargetMode="External" Id="rId199"/><Relationship Type="http://schemas.openxmlformats.org/officeDocument/2006/relationships/hyperlink" Target="https://www.google.com/travel/flights?q=Flights%20from%20BUH%20to%20STN%20on%202026-11-27%20one%20way" TargetMode="External" Id="rId200"/><Relationship Type="http://schemas.openxmlformats.org/officeDocument/2006/relationships/hyperlink" Target="https://www.google.com/travel/flights?q=Flights%20from%20STN%20to%20BUH%20on%202026-11-30%20one%20way" TargetMode="External" Id="rId201"/><Relationship Type="http://schemas.openxmlformats.org/officeDocument/2006/relationships/hyperlink" Target="https://www.google.com/travel/flights?q=Flights%20from%20STN%20to%20BUH%20on%202026-12-01%20one%20way" TargetMode="External" Id="rId202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STN" TargetMode="External" Id="rId203"/><Relationship Type="http://schemas.openxmlformats.org/officeDocument/2006/relationships/hyperlink" Target="https://wizzair.com/ro-ro/booking/select-flight/OTP/STN/2026-11-26/null/1/0/0/null" TargetMode="External" Id="rId204"/><Relationship Type="http://schemas.openxmlformats.org/officeDocument/2006/relationships/hyperlink" Target="https://www.google.com/travel/flights?q=Flights%20from%20BUH%20to%20LTN%20on%202026-11-26%20one%20way" TargetMode="External" Id="rId205"/><Relationship Type="http://schemas.openxmlformats.org/officeDocument/2006/relationships/hyperlink" Target="https://www.google.com/travel/flights?q=Flights%20from%20BUH%20to%20LTN%20on%202026-11-27%20one%20way" TargetMode="External" Id="rId206"/><Relationship Type="http://schemas.openxmlformats.org/officeDocument/2006/relationships/hyperlink" Target="https://www.google.com/travel/flights?q=Flights%20from%20LTN%20to%20BUH%20on%202026-11-30%20one%20way" TargetMode="External" Id="rId207"/><Relationship Type="http://schemas.openxmlformats.org/officeDocument/2006/relationships/hyperlink" Target="https://www.google.com/travel/flights?q=Flights%20from%20LTN%20to%20BUH%20on%202026-12-01%20one%20way" TargetMode="External" Id="rId208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LTN" TargetMode="External" Id="rId209"/><Relationship Type="http://schemas.openxmlformats.org/officeDocument/2006/relationships/hyperlink" Target="https://wizzair.com/ro-ro/booking/select-flight/OTP/LTN/2026-11-26/null/1/0/0/null" TargetMode="External" Id="rId210"/><Relationship Type="http://schemas.openxmlformats.org/officeDocument/2006/relationships/hyperlink" Target="https://www.google.com/travel/flights?q=Flights%20from%20BUH%20to%20CPH%20on%202026-11-26%20one%20way" TargetMode="External" Id="rId211"/><Relationship Type="http://schemas.openxmlformats.org/officeDocument/2006/relationships/hyperlink" Target="https://www.google.com/travel/flights?q=Flights%20from%20BUH%20to%20CPH%20on%202026-11-27%20one%20way" TargetMode="External" Id="rId212"/><Relationship Type="http://schemas.openxmlformats.org/officeDocument/2006/relationships/hyperlink" Target="https://www.google.com/travel/flights?q=Flights%20from%20CPH%20to%20BUH%20on%202026-11-30%20one%20way" TargetMode="External" Id="rId213"/><Relationship Type="http://schemas.openxmlformats.org/officeDocument/2006/relationships/hyperlink" Target="https://www.google.com/travel/flights?q=Flights%20from%20CPH%20to%20BUH%20on%202026-12-01%20one%20way" TargetMode="External" Id="rId214"/><Relationship Type="http://schemas.openxmlformats.org/officeDocument/2006/relationships/hyperlink" Target="https://www.ryanair.com/ro/ro/trip/flights/select?adults=1&amp;teens=0&amp;children=0&amp;infants=0&amp;dateOut=2026-11-26&amp;isReturn=false&amp;originIata=OTP&amp;destinationIata=CPH" TargetMode="External" Id="rId215"/><Relationship Type="http://schemas.openxmlformats.org/officeDocument/2006/relationships/hyperlink" Target="https://wizzair.com/ro-ro/booking/select-flight/OTP/CPH/2026-11-26/null/1/0/0/null" TargetMode="External" Id="rId2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6" customWidth="1" min="3" max="3"/>
    <col width="24" customWidth="1" min="4" max="4"/>
    <col width="46" customWidth="1" min="5" max="5"/>
    <col width="11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</cols>
  <sheetData>
    <row r="1">
      <c r="A1" s="1" t="inlineStr">
        <is>
          <t>București (OTP/BBU) ⇄ Europa de Vest – 26/27.11 → 30.11/01.12.2026 – prețuri pe persoană, RON (completează celulele galbene)</t>
        </is>
      </c>
    </row>
    <row r="2">
      <c r="A2" s="2" t="inlineStr">
        <is>
          <t>Google Flights caută din BUH = OTP + Băneasa. Totalul minim și zilele se calculează automat. Exemplu Memmingen: pune prețul Ryanair pe care l-ai găsit în F/G și H/I.</t>
        </is>
      </c>
    </row>
    <row r="3" ht="45" customHeight="1">
      <c r="A3" s="3" t="inlineStr">
        <is>
          <t>Cod</t>
        </is>
      </c>
      <c r="B3" s="3" t="inlineStr">
        <is>
          <t>Destinație</t>
        </is>
      </c>
      <c r="C3" s="3" t="inlineStr">
        <is>
          <t>Țară</t>
        </is>
      </c>
      <c r="D3" s="3" t="inlineStr">
        <is>
          <t>Companii (din OTP)</t>
        </is>
      </c>
      <c r="E3" s="3" t="inlineStr">
        <is>
          <t>Târg de Crăciun / note</t>
        </is>
      </c>
      <c r="F3" s="3" t="inlineStr">
        <is>
          <t>DUS 26.11</t>
        </is>
      </c>
      <c r="G3" s="3" t="inlineStr">
        <is>
          <t>DUS 27.11</t>
        </is>
      </c>
      <c r="H3" s="3" t="inlineStr">
        <is>
          <t>ÎNTORS 30.11</t>
        </is>
      </c>
      <c r="I3" s="3" t="inlineStr">
        <is>
          <t>ÎNTORS 01.12</t>
        </is>
      </c>
      <c r="J3" s="3" t="inlineStr">
        <is>
          <t>Cel mai ieftin dus</t>
        </is>
      </c>
      <c r="K3" s="3" t="inlineStr">
        <is>
          <t>Cel mai ieftin întors</t>
        </is>
      </c>
      <c r="L3" s="3" t="inlineStr">
        <is>
          <t>TOTAL minim</t>
        </is>
      </c>
      <c r="M3" s="3" t="inlineStr">
        <is>
          <t>Zile dus→întors (cele mai ieftine)</t>
        </is>
      </c>
      <c r="N3" s="3" t="inlineStr">
        <is>
          <t>Rută verificată? (da/nu)</t>
        </is>
      </c>
      <c r="O3" s="3" t="inlineStr">
        <is>
          <t>Google Flights dus 26</t>
        </is>
      </c>
      <c r="P3" s="3" t="inlineStr">
        <is>
          <t>Google Flights dus 27</t>
        </is>
      </c>
      <c r="Q3" s="3" t="inlineStr">
        <is>
          <t>Google Flights întors 30</t>
        </is>
      </c>
      <c r="R3" s="3" t="inlineStr">
        <is>
          <t>Google Flights întors 01</t>
        </is>
      </c>
      <c r="S3" s="3" t="inlineStr">
        <is>
          <t>Ryanair dus 26</t>
        </is>
      </c>
      <c r="T3" s="3" t="inlineStr">
        <is>
          <t>Wizz dus 26</t>
        </is>
      </c>
    </row>
    <row r="4">
      <c r="A4" s="4" t="inlineStr">
        <is>
          <t>FMM</t>
        </is>
      </c>
      <c r="B4" s="4" t="inlineStr">
        <is>
          <t>Memmingen (München/Allgäu)</t>
        </is>
      </c>
      <c r="C4" s="4" t="inlineStr">
        <is>
          <t>DE</t>
        </is>
      </c>
      <c r="D4" s="4" t="inlineStr">
        <is>
          <t>Ryanair, Wizz</t>
        </is>
      </c>
      <c r="E4" s="4" t="inlineStr">
        <is>
          <t>München Christkindlmarkt + Augsburg; tren ~1h30 spre München</t>
        </is>
      </c>
      <c r="F4" s="5" t="n"/>
      <c r="G4" s="5" t="n"/>
      <c r="H4" s="5" t="n"/>
      <c r="I4" s="5" t="n"/>
      <c r="J4" s="6">
        <f>IF(COUNT(F4:G4)=0,"",MIN(F4:G4))</f>
        <v/>
      </c>
      <c r="K4" s="6">
        <f>IF(COUNT(H4:I4)=0,"",MIN(H4:I4))</f>
        <v/>
      </c>
      <c r="L4" s="6">
        <f>IF(OR(J4="",K4=""),"",J4+K4)</f>
        <v/>
      </c>
      <c r="M4" s="6">
        <f>IF(L4="","",IF(F4=J4,"26.11","27.11")&amp;" → "&amp;IF(H4=K4,"30.11","01.12"))</f>
        <v/>
      </c>
      <c r="N4" s="4" t="n"/>
      <c r="O4" s="7" t="inlineStr">
        <is>
          <t>deschide</t>
        </is>
      </c>
      <c r="P4" s="7" t="inlineStr">
        <is>
          <t>deschide</t>
        </is>
      </c>
      <c r="Q4" s="7" t="inlineStr">
        <is>
          <t>deschide</t>
        </is>
      </c>
      <c r="R4" s="7" t="inlineStr">
        <is>
          <t>deschide</t>
        </is>
      </c>
      <c r="S4" s="7" t="inlineStr">
        <is>
          <t>deschide</t>
        </is>
      </c>
      <c r="T4" s="7" t="inlineStr">
        <is>
          <t>deschide</t>
        </is>
      </c>
    </row>
    <row r="5">
      <c r="A5" s="4" t="inlineStr">
        <is>
          <t>MUC</t>
        </is>
      </c>
      <c r="B5" s="4" t="inlineStr">
        <is>
          <t>München</t>
        </is>
      </c>
      <c r="C5" s="4" t="inlineStr">
        <is>
          <t>DE</t>
        </is>
      </c>
      <c r="D5" s="4" t="inlineStr">
        <is>
          <t>Lufthansa, TAROM</t>
        </is>
      </c>
      <c r="E5" s="4" t="inlineStr">
        <is>
          <t>Marienplatz, Residenz; aeroport scump dar direct</t>
        </is>
      </c>
      <c r="F5" s="5" t="n"/>
      <c r="G5" s="5" t="n"/>
      <c r="H5" s="5" t="n"/>
      <c r="I5" s="5" t="n"/>
      <c r="J5" s="6">
        <f>IF(COUNT(F5:G5)=0,"",MIN(F5:G5))</f>
        <v/>
      </c>
      <c r="K5" s="6">
        <f>IF(COUNT(H5:I5)=0,"",MIN(H5:I5))</f>
        <v/>
      </c>
      <c r="L5" s="6">
        <f>IF(OR(J5="",K5=""),"",J5+K5)</f>
        <v/>
      </c>
      <c r="M5" s="6">
        <f>IF(L5="","",IF(F5=J5,"26.11","27.11")&amp;" → "&amp;IF(H5=K5,"30.11","01.12"))</f>
        <v/>
      </c>
      <c r="N5" s="4" t="n"/>
      <c r="O5" s="7" t="inlineStr">
        <is>
          <t>deschide</t>
        </is>
      </c>
      <c r="P5" s="7" t="inlineStr">
        <is>
          <t>deschide</t>
        </is>
      </c>
      <c r="Q5" s="7" t="inlineStr">
        <is>
          <t>deschide</t>
        </is>
      </c>
      <c r="R5" s="7" t="inlineStr">
        <is>
          <t>deschide</t>
        </is>
      </c>
      <c r="S5" s="7" t="inlineStr">
        <is>
          <t>deschide</t>
        </is>
      </c>
      <c r="T5" s="7" t="inlineStr">
        <is>
          <t>deschide</t>
        </is>
      </c>
    </row>
    <row r="6">
      <c r="A6" s="4" t="inlineStr">
        <is>
          <t>NUE</t>
        </is>
      </c>
      <c r="B6" s="4" t="inlineStr">
        <is>
          <t>Nürnberg</t>
        </is>
      </c>
      <c r="C6" s="4" t="inlineStr">
        <is>
          <t>DE</t>
        </is>
      </c>
      <c r="D6" s="4" t="inlineStr">
        <is>
          <t>Wizz/Ryanair (de verificat)</t>
        </is>
      </c>
      <c r="E6" s="4" t="inlineStr">
        <is>
          <t>Christkindlesmarkt – cel mai faimos; se deschide vineri 27.11.2026</t>
        </is>
      </c>
      <c r="F6" s="5" t="n"/>
      <c r="G6" s="5" t="n"/>
      <c r="H6" s="5" t="n"/>
      <c r="I6" s="5" t="n"/>
      <c r="J6" s="6">
        <f>IF(COUNT(F6:G6)=0,"",MIN(F6:G6))</f>
        <v/>
      </c>
      <c r="K6" s="6">
        <f>IF(COUNT(H6:I6)=0,"",MIN(H6:I6))</f>
        <v/>
      </c>
      <c r="L6" s="6">
        <f>IF(OR(J6="",K6=""),"",J6+K6)</f>
        <v/>
      </c>
      <c r="M6" s="6">
        <f>IF(L6="","",IF(F6=J6,"26.11","27.11")&amp;" → "&amp;IF(H6=K6,"30.11","01.12"))</f>
        <v/>
      </c>
      <c r="N6" s="4" t="n"/>
      <c r="O6" s="7" t="inlineStr">
        <is>
          <t>deschide</t>
        </is>
      </c>
      <c r="P6" s="7" t="inlineStr">
        <is>
          <t>deschide</t>
        </is>
      </c>
      <c r="Q6" s="7" t="inlineStr">
        <is>
          <t>deschide</t>
        </is>
      </c>
      <c r="R6" s="7" t="inlineStr">
        <is>
          <t>deschide</t>
        </is>
      </c>
      <c r="S6" s="7" t="inlineStr">
        <is>
          <t>deschide</t>
        </is>
      </c>
      <c r="T6" s="7" t="inlineStr">
        <is>
          <t>deschide</t>
        </is>
      </c>
    </row>
    <row r="7">
      <c r="A7" s="4" t="inlineStr">
        <is>
          <t>FKB</t>
        </is>
      </c>
      <c r="B7" s="4" t="inlineStr">
        <is>
          <t>Karlsruhe/Baden-Baden</t>
        </is>
      </c>
      <c r="C7" s="4" t="inlineStr">
        <is>
          <t>DE</t>
        </is>
      </c>
      <c r="D7" s="4" t="inlineStr">
        <is>
          <t>Wizz/Ryanair (de verificat)</t>
        </is>
      </c>
      <c r="E7" s="4" t="inlineStr">
        <is>
          <t>Baden-Baden, Karlsruhe; Strasbourg la ~1h</t>
        </is>
      </c>
      <c r="F7" s="5" t="n"/>
      <c r="G7" s="5" t="n"/>
      <c r="H7" s="5" t="n"/>
      <c r="I7" s="5" t="n"/>
      <c r="J7" s="6">
        <f>IF(COUNT(F7:G7)=0,"",MIN(F7:G7))</f>
        <v/>
      </c>
      <c r="K7" s="6">
        <f>IF(COUNT(H7:I7)=0,"",MIN(H7:I7))</f>
        <v/>
      </c>
      <c r="L7" s="6">
        <f>IF(OR(J7="",K7=""),"",J7+K7)</f>
        <v/>
      </c>
      <c r="M7" s="6">
        <f>IF(L7="","",IF(F7=J7,"26.11","27.11")&amp;" → "&amp;IF(H7=K7,"30.11","01.12"))</f>
        <v/>
      </c>
      <c r="N7" s="4" t="n"/>
      <c r="O7" s="7" t="inlineStr">
        <is>
          <t>deschide</t>
        </is>
      </c>
      <c r="P7" s="7" t="inlineStr">
        <is>
          <t>deschide</t>
        </is>
      </c>
      <c r="Q7" s="7" t="inlineStr">
        <is>
          <t>deschide</t>
        </is>
      </c>
      <c r="R7" s="7" t="inlineStr">
        <is>
          <t>deschide</t>
        </is>
      </c>
      <c r="S7" s="7" t="inlineStr">
        <is>
          <t>deschide</t>
        </is>
      </c>
      <c r="T7" s="7" t="inlineStr">
        <is>
          <t>deschide</t>
        </is>
      </c>
    </row>
    <row r="8">
      <c r="A8" s="4" t="inlineStr">
        <is>
          <t>HHN</t>
        </is>
      </c>
      <c r="B8" s="4" t="inlineStr">
        <is>
          <t>Frankfurt Hahn</t>
        </is>
      </c>
      <c r="C8" s="4" t="inlineStr">
        <is>
          <t>DE</t>
        </is>
      </c>
      <c r="D8" s="4" t="inlineStr">
        <is>
          <t>Wizz/Ryanair (de verificat)</t>
        </is>
      </c>
      <c r="E8" s="4" t="inlineStr">
        <is>
          <t>Rüdesheim, Mainz; Frankfurt la ~1h45 cu autocarul</t>
        </is>
      </c>
      <c r="F8" s="5" t="n"/>
      <c r="G8" s="5" t="n"/>
      <c r="H8" s="5" t="n"/>
      <c r="I8" s="5" t="n"/>
      <c r="J8" s="6">
        <f>IF(COUNT(F8:G8)=0,"",MIN(F8:G8))</f>
        <v/>
      </c>
      <c r="K8" s="6">
        <f>IF(COUNT(H8:I8)=0,"",MIN(H8:I8))</f>
        <v/>
      </c>
      <c r="L8" s="6">
        <f>IF(OR(J8="",K8=""),"",J8+K8)</f>
        <v/>
      </c>
      <c r="M8" s="6">
        <f>IF(L8="","",IF(F8=J8,"26.11","27.11")&amp;" → "&amp;IF(H8=K8,"30.11","01.12"))</f>
        <v/>
      </c>
      <c r="N8" s="4" t="n"/>
      <c r="O8" s="7" t="inlineStr">
        <is>
          <t>deschide</t>
        </is>
      </c>
      <c r="P8" s="7" t="inlineStr">
        <is>
          <t>deschide</t>
        </is>
      </c>
      <c r="Q8" s="7" t="inlineStr">
        <is>
          <t>deschide</t>
        </is>
      </c>
      <c r="R8" s="7" t="inlineStr">
        <is>
          <t>deschide</t>
        </is>
      </c>
      <c r="S8" s="7" t="inlineStr">
        <is>
          <t>deschide</t>
        </is>
      </c>
      <c r="T8" s="7" t="inlineStr">
        <is>
          <t>deschide</t>
        </is>
      </c>
    </row>
    <row r="9">
      <c r="A9" s="4" t="inlineStr">
        <is>
          <t>FRA</t>
        </is>
      </c>
      <c r="B9" s="4" t="inlineStr">
        <is>
          <t>Frankfurt</t>
        </is>
      </c>
      <c r="C9" s="4" t="inlineStr">
        <is>
          <t>DE</t>
        </is>
      </c>
      <c r="D9" s="4" t="inlineStr">
        <is>
          <t>Lufthansa, TAROM</t>
        </is>
      </c>
      <c r="E9" s="4" t="inlineStr">
        <is>
          <t>Römerberg; acces rapid spre Heidelberg</t>
        </is>
      </c>
      <c r="F9" s="5" t="n"/>
      <c r="G9" s="5" t="n"/>
      <c r="H9" s="5" t="n"/>
      <c r="I9" s="5" t="n"/>
      <c r="J9" s="6">
        <f>IF(COUNT(F9:G9)=0,"",MIN(F9:G9))</f>
        <v/>
      </c>
      <c r="K9" s="6">
        <f>IF(COUNT(H9:I9)=0,"",MIN(H9:I9))</f>
        <v/>
      </c>
      <c r="L9" s="6">
        <f>IF(OR(J9="",K9=""),"",J9+K9)</f>
        <v/>
      </c>
      <c r="M9" s="6">
        <f>IF(L9="","",IF(F9=J9,"26.11","27.11")&amp;" → "&amp;IF(H9=K9,"30.11","01.12"))</f>
        <v/>
      </c>
      <c r="N9" s="4" t="n"/>
      <c r="O9" s="7" t="inlineStr">
        <is>
          <t>deschide</t>
        </is>
      </c>
      <c r="P9" s="7" t="inlineStr">
        <is>
          <t>deschide</t>
        </is>
      </c>
      <c r="Q9" s="7" t="inlineStr">
        <is>
          <t>deschide</t>
        </is>
      </c>
      <c r="R9" s="7" t="inlineStr">
        <is>
          <t>deschide</t>
        </is>
      </c>
      <c r="S9" s="7" t="inlineStr">
        <is>
          <t>deschide</t>
        </is>
      </c>
      <c r="T9" s="7" t="inlineStr">
        <is>
          <t>deschide</t>
        </is>
      </c>
    </row>
    <row r="10">
      <c r="A10" s="4" t="inlineStr">
        <is>
          <t>CGN</t>
        </is>
      </c>
      <c r="B10" s="4" t="inlineStr">
        <is>
          <t>Köln</t>
        </is>
      </c>
      <c r="C10" s="4" t="inlineStr">
        <is>
          <t>DE</t>
        </is>
      </c>
      <c r="D10" s="4" t="inlineStr">
        <is>
          <t>Wizz</t>
        </is>
      </c>
      <c r="E10" s="4" t="inlineStr">
        <is>
          <t>7 târguri în oraș, Domul; Düsseldorf/Aachen aproape</t>
        </is>
      </c>
      <c r="F10" s="5" t="n"/>
      <c r="G10" s="5" t="n"/>
      <c r="H10" s="5" t="n"/>
      <c r="I10" s="5" t="n"/>
      <c r="J10" s="6">
        <f>IF(COUNT(F10:G10)=0,"",MIN(F10:G10))</f>
        <v/>
      </c>
      <c r="K10" s="6">
        <f>IF(COUNT(H10:I10)=0,"",MIN(H10:I10))</f>
        <v/>
      </c>
      <c r="L10" s="6">
        <f>IF(OR(J10="",K10=""),"",J10+K10)</f>
        <v/>
      </c>
      <c r="M10" s="6">
        <f>IF(L10="","",IF(F10=J10,"26.11","27.11")&amp;" → "&amp;IF(H10=K10,"30.11","01.12"))</f>
        <v/>
      </c>
      <c r="N10" s="4" t="n"/>
      <c r="O10" s="7" t="inlineStr">
        <is>
          <t>deschide</t>
        </is>
      </c>
      <c r="P10" s="7" t="inlineStr">
        <is>
          <t>deschide</t>
        </is>
      </c>
      <c r="Q10" s="7" t="inlineStr">
        <is>
          <t>deschide</t>
        </is>
      </c>
      <c r="R10" s="7" t="inlineStr">
        <is>
          <t>deschide</t>
        </is>
      </c>
      <c r="S10" s="7" t="inlineStr">
        <is>
          <t>deschide</t>
        </is>
      </c>
      <c r="T10" s="7" t="inlineStr">
        <is>
          <t>deschide</t>
        </is>
      </c>
    </row>
    <row r="11">
      <c r="A11" s="4" t="inlineStr">
        <is>
          <t>DTM</t>
        </is>
      </c>
      <c r="B11" s="4" t="inlineStr">
        <is>
          <t>Dortmund</t>
        </is>
      </c>
      <c r="C11" s="4" t="inlineStr">
        <is>
          <t>DE</t>
        </is>
      </c>
      <c r="D11" s="4" t="inlineStr">
        <is>
          <t>Wizz</t>
        </is>
      </c>
      <c r="E11" s="4" t="inlineStr">
        <is>
          <t>Cel mai mare brad de Crăciun; Köln/Münster aproape</t>
        </is>
      </c>
      <c r="F11" s="5" t="n"/>
      <c r="G11" s="5" t="n"/>
      <c r="H11" s="5" t="n"/>
      <c r="I11" s="5" t="n"/>
      <c r="J11" s="6">
        <f>IF(COUNT(F11:G11)=0,"",MIN(F11:G11))</f>
        <v/>
      </c>
      <c r="K11" s="6">
        <f>IF(COUNT(H11:I11)=0,"",MIN(H11:I11))</f>
        <v/>
      </c>
      <c r="L11" s="6">
        <f>IF(OR(J11="",K11=""),"",J11+K11)</f>
        <v/>
      </c>
      <c r="M11" s="6">
        <f>IF(L11="","",IF(F11=J11,"26.11","27.11")&amp;" → "&amp;IF(H11=K11,"30.11","01.12"))</f>
        <v/>
      </c>
      <c r="N11" s="4" t="n"/>
      <c r="O11" s="7" t="inlineStr">
        <is>
          <t>deschide</t>
        </is>
      </c>
      <c r="P11" s="7" t="inlineStr">
        <is>
          <t>deschide</t>
        </is>
      </c>
      <c r="Q11" s="7" t="inlineStr">
        <is>
          <t>deschide</t>
        </is>
      </c>
      <c r="R11" s="7" t="inlineStr">
        <is>
          <t>deschide</t>
        </is>
      </c>
      <c r="S11" s="7" t="inlineStr">
        <is>
          <t>deschide</t>
        </is>
      </c>
      <c r="T11" s="7" t="inlineStr">
        <is>
          <t>deschide</t>
        </is>
      </c>
    </row>
    <row r="12">
      <c r="A12" s="4" t="inlineStr">
        <is>
          <t>HAM</t>
        </is>
      </c>
      <c r="B12" s="4" t="inlineStr">
        <is>
          <t>Hamburg</t>
        </is>
      </c>
      <c r="C12" s="4" t="inlineStr">
        <is>
          <t>DE</t>
        </is>
      </c>
      <c r="D12" s="4" t="inlineStr">
        <is>
          <t>Wizz/Ryanair (de verificat)</t>
        </is>
      </c>
      <c r="E12" s="4" t="inlineStr">
        <is>
          <t>Rathausmarkt; Lübeck la 45 min</t>
        </is>
      </c>
      <c r="F12" s="5" t="n"/>
      <c r="G12" s="5" t="n"/>
      <c r="H12" s="5" t="n"/>
      <c r="I12" s="5" t="n"/>
      <c r="J12" s="6">
        <f>IF(COUNT(F12:G12)=0,"",MIN(F12:G12))</f>
        <v/>
      </c>
      <c r="K12" s="6">
        <f>IF(COUNT(H12:I12)=0,"",MIN(H12:I12))</f>
        <v/>
      </c>
      <c r="L12" s="6">
        <f>IF(OR(J12="",K12=""),"",J12+K12)</f>
        <v/>
      </c>
      <c r="M12" s="6">
        <f>IF(L12="","",IF(F12=J12,"26.11","27.11")&amp;" → "&amp;IF(H12=K12,"30.11","01.12"))</f>
        <v/>
      </c>
      <c r="N12" s="4" t="n"/>
      <c r="O12" s="7" t="inlineStr">
        <is>
          <t>deschide</t>
        </is>
      </c>
      <c r="P12" s="7" t="inlineStr">
        <is>
          <t>deschide</t>
        </is>
      </c>
      <c r="Q12" s="7" t="inlineStr">
        <is>
          <t>deschide</t>
        </is>
      </c>
      <c r="R12" s="7" t="inlineStr">
        <is>
          <t>deschide</t>
        </is>
      </c>
      <c r="S12" s="7" t="inlineStr">
        <is>
          <t>deschide</t>
        </is>
      </c>
      <c r="T12" s="7" t="inlineStr">
        <is>
          <t>deschide</t>
        </is>
      </c>
    </row>
    <row r="13">
      <c r="A13" s="4" t="inlineStr">
        <is>
          <t>BER</t>
        </is>
      </c>
      <c r="B13" s="4" t="inlineStr">
        <is>
          <t>Berlin</t>
        </is>
      </c>
      <c r="C13" s="4" t="inlineStr">
        <is>
          <t>DE</t>
        </is>
      </c>
      <c r="D13" s="4" t="inlineStr">
        <is>
          <t>Wizz, Ryanair (redus)</t>
        </is>
      </c>
      <c r="E13" s="4" t="inlineStr">
        <is>
          <t>Gendarmenmarkt, Charlottenburg</t>
        </is>
      </c>
      <c r="F13" s="5" t="n"/>
      <c r="G13" s="5" t="n"/>
      <c r="H13" s="5" t="n"/>
      <c r="I13" s="5" t="n"/>
      <c r="J13" s="6">
        <f>IF(COUNT(F13:G13)=0,"",MIN(F13:G13))</f>
        <v/>
      </c>
      <c r="K13" s="6">
        <f>IF(COUNT(H13:I13)=0,"",MIN(H13:I13))</f>
        <v/>
      </c>
      <c r="L13" s="6">
        <f>IF(OR(J13="",K13=""),"",J13+K13)</f>
        <v/>
      </c>
      <c r="M13" s="6">
        <f>IF(L13="","",IF(F13=J13,"26.11","27.11")&amp;" → "&amp;IF(H13=K13,"30.11","01.12"))</f>
        <v/>
      </c>
      <c r="N13" s="4" t="n"/>
      <c r="O13" s="7" t="inlineStr">
        <is>
          <t>deschide</t>
        </is>
      </c>
      <c r="P13" s="7" t="inlineStr">
        <is>
          <t>deschide</t>
        </is>
      </c>
      <c r="Q13" s="7" t="inlineStr">
        <is>
          <t>deschide</t>
        </is>
      </c>
      <c r="R13" s="7" t="inlineStr">
        <is>
          <t>deschide</t>
        </is>
      </c>
      <c r="S13" s="7" t="inlineStr">
        <is>
          <t>deschide</t>
        </is>
      </c>
      <c r="T13" s="7" t="inlineStr">
        <is>
          <t>deschide</t>
        </is>
      </c>
    </row>
    <row r="14">
      <c r="A14" s="4" t="inlineStr">
        <is>
          <t>STR</t>
        </is>
      </c>
      <c r="B14" s="4" t="inlineStr">
        <is>
          <t>Stuttgart</t>
        </is>
      </c>
      <c r="C14" s="4" t="inlineStr">
        <is>
          <t>DE</t>
        </is>
      </c>
      <c r="D14" s="4" t="inlineStr">
        <is>
          <t>Eurowings/TAROM (de verificat)</t>
        </is>
      </c>
      <c r="E14" s="4" t="inlineStr">
        <is>
          <t>Stuttgarter Weihnachtsmarkt, Esslingen (medieval)</t>
        </is>
      </c>
      <c r="F14" s="5" t="n"/>
      <c r="G14" s="5" t="n"/>
      <c r="H14" s="5" t="n"/>
      <c r="I14" s="5" t="n"/>
      <c r="J14" s="6">
        <f>IF(COUNT(F14:G14)=0,"",MIN(F14:G14))</f>
        <v/>
      </c>
      <c r="K14" s="6">
        <f>IF(COUNT(H14:I14)=0,"",MIN(H14:I14))</f>
        <v/>
      </c>
      <c r="L14" s="6">
        <f>IF(OR(J14="",K14=""),"",J14+K14)</f>
        <v/>
      </c>
      <c r="M14" s="6">
        <f>IF(L14="","",IF(F14=J14,"26.11","27.11")&amp;" → "&amp;IF(H14=K14,"30.11","01.12"))</f>
        <v/>
      </c>
      <c r="N14" s="4" t="n"/>
      <c r="O14" s="7" t="inlineStr">
        <is>
          <t>deschide</t>
        </is>
      </c>
      <c r="P14" s="7" t="inlineStr">
        <is>
          <t>deschide</t>
        </is>
      </c>
      <c r="Q14" s="7" t="inlineStr">
        <is>
          <t>deschide</t>
        </is>
      </c>
      <c r="R14" s="7" t="inlineStr">
        <is>
          <t>deschide</t>
        </is>
      </c>
      <c r="S14" s="7" t="inlineStr">
        <is>
          <t>deschide</t>
        </is>
      </c>
      <c r="T14" s="7" t="inlineStr">
        <is>
          <t>deschide</t>
        </is>
      </c>
    </row>
    <row r="15">
      <c r="A15" s="4" t="inlineStr">
        <is>
          <t>BSL</t>
        </is>
      </c>
      <c r="B15" s="4" t="inlineStr">
        <is>
          <t>Basel/Mulhouse</t>
        </is>
      </c>
      <c r="C15" s="4" t="inlineStr">
        <is>
          <t>CH/FR</t>
        </is>
      </c>
      <c r="D15" s="4" t="inlineStr">
        <is>
          <t>Wizz</t>
        </is>
      </c>
      <c r="E15" s="4" t="inlineStr">
        <is>
          <t>Basel + Colmar (40 min) + Strasbourg (1h15)</t>
        </is>
      </c>
      <c r="F15" s="5" t="n"/>
      <c r="G15" s="5" t="n"/>
      <c r="H15" s="5" t="n"/>
      <c r="I15" s="5" t="n"/>
      <c r="J15" s="6">
        <f>IF(COUNT(F15:G15)=0,"",MIN(F15:G15))</f>
        <v/>
      </c>
      <c r="K15" s="6">
        <f>IF(COUNT(H15:I15)=0,"",MIN(H15:I15))</f>
        <v/>
      </c>
      <c r="L15" s="6">
        <f>IF(OR(J15="",K15=""),"",J15+K15)</f>
        <v/>
      </c>
      <c r="M15" s="6">
        <f>IF(L15="","",IF(F15=J15,"26.11","27.11")&amp;" → "&amp;IF(H15=K15,"30.11","01.12"))</f>
        <v/>
      </c>
      <c r="N15" s="4" t="n"/>
      <c r="O15" s="7" t="inlineStr">
        <is>
          <t>deschide</t>
        </is>
      </c>
      <c r="P15" s="7" t="inlineStr">
        <is>
          <t>deschide</t>
        </is>
      </c>
      <c r="Q15" s="7" t="inlineStr">
        <is>
          <t>deschide</t>
        </is>
      </c>
      <c r="R15" s="7" t="inlineStr">
        <is>
          <t>deschide</t>
        </is>
      </c>
      <c r="S15" s="7" t="inlineStr">
        <is>
          <t>deschide</t>
        </is>
      </c>
      <c r="T15" s="7" t="inlineStr">
        <is>
          <t>deschide</t>
        </is>
      </c>
    </row>
    <row r="16">
      <c r="A16" s="4" t="inlineStr">
        <is>
          <t>ZRH</t>
        </is>
      </c>
      <c r="B16" s="4" t="inlineStr">
        <is>
          <t>Zürich</t>
        </is>
      </c>
      <c r="C16" s="4" t="inlineStr">
        <is>
          <t>CH</t>
        </is>
      </c>
      <c r="D16" s="4" t="inlineStr">
        <is>
          <t>Swiss, TAROM</t>
        </is>
      </c>
      <c r="E16" s="4" t="inlineStr">
        <is>
          <t>Zürich, Lucerna; scump la cazare</t>
        </is>
      </c>
      <c r="F16" s="5" t="n"/>
      <c r="G16" s="5" t="n"/>
      <c r="H16" s="5" t="n"/>
      <c r="I16" s="5" t="n"/>
      <c r="J16" s="6">
        <f>IF(COUNT(F16:G16)=0,"",MIN(F16:G16))</f>
        <v/>
      </c>
      <c r="K16" s="6">
        <f>IF(COUNT(H16:I16)=0,"",MIN(H16:I16))</f>
        <v/>
      </c>
      <c r="L16" s="6">
        <f>IF(OR(J16="",K16=""),"",J16+K16)</f>
        <v/>
      </c>
      <c r="M16" s="6">
        <f>IF(L16="","",IF(F16=J16,"26.11","27.11")&amp;" → "&amp;IF(H16=K16,"30.11","01.12"))</f>
        <v/>
      </c>
      <c r="N16" s="4" t="n"/>
      <c r="O16" s="7" t="inlineStr">
        <is>
          <t>deschide</t>
        </is>
      </c>
      <c r="P16" s="7" t="inlineStr">
        <is>
          <t>deschide</t>
        </is>
      </c>
      <c r="Q16" s="7" t="inlineStr">
        <is>
          <t>deschide</t>
        </is>
      </c>
      <c r="R16" s="7" t="inlineStr">
        <is>
          <t>deschide</t>
        </is>
      </c>
      <c r="S16" s="7" t="inlineStr">
        <is>
          <t>deschide</t>
        </is>
      </c>
      <c r="T16" s="7" t="inlineStr">
        <is>
          <t>deschide</t>
        </is>
      </c>
    </row>
    <row r="17">
      <c r="A17" s="4" t="inlineStr">
        <is>
          <t>GVA</t>
        </is>
      </c>
      <c r="B17" s="4" t="inlineStr">
        <is>
          <t>Geneva</t>
        </is>
      </c>
      <c r="C17" s="4" t="inlineStr">
        <is>
          <t>CH</t>
        </is>
      </c>
      <c r="D17" s="4" t="inlineStr">
        <is>
          <t>Wizz (de verificat)</t>
        </is>
      </c>
      <c r="E17" s="4" t="inlineStr">
        <is>
          <t>Montreux Noël, Annecy</t>
        </is>
      </c>
      <c r="F17" s="5" t="n"/>
      <c r="G17" s="5" t="n"/>
      <c r="H17" s="5" t="n"/>
      <c r="I17" s="5" t="n"/>
      <c r="J17" s="6">
        <f>IF(COUNT(F17:G17)=0,"",MIN(F17:G17))</f>
        <v/>
      </c>
      <c r="K17" s="6">
        <f>IF(COUNT(H17:I17)=0,"",MIN(H17:I17))</f>
        <v/>
      </c>
      <c r="L17" s="6">
        <f>IF(OR(J17="",K17=""),"",J17+K17)</f>
        <v/>
      </c>
      <c r="M17" s="6">
        <f>IF(L17="","",IF(F17=J17,"26.11","27.11")&amp;" → "&amp;IF(H17=K17,"30.11","01.12"))</f>
        <v/>
      </c>
      <c r="N17" s="4" t="n"/>
      <c r="O17" s="7" t="inlineStr">
        <is>
          <t>deschide</t>
        </is>
      </c>
      <c r="P17" s="7" t="inlineStr">
        <is>
          <t>deschide</t>
        </is>
      </c>
      <c r="Q17" s="7" t="inlineStr">
        <is>
          <t>deschide</t>
        </is>
      </c>
      <c r="R17" s="7" t="inlineStr">
        <is>
          <t>deschide</t>
        </is>
      </c>
      <c r="S17" s="7" t="inlineStr">
        <is>
          <t>deschide</t>
        </is>
      </c>
      <c r="T17" s="7" t="inlineStr">
        <is>
          <t>deschide</t>
        </is>
      </c>
    </row>
    <row r="18">
      <c r="A18" s="4" t="inlineStr">
        <is>
          <t>SXB</t>
        </is>
      </c>
      <c r="B18" s="4" t="inlineStr">
        <is>
          <t>Strasbourg</t>
        </is>
      </c>
      <c r="C18" s="4" t="inlineStr">
        <is>
          <t>FR</t>
        </is>
      </c>
      <c r="D18" s="4" t="inlineStr">
        <is>
          <t>(de verificat; Ryanair a tăiat ruta)</t>
        </is>
      </c>
      <c r="E18" s="4" t="inlineStr">
        <is>
          <t>Capitale de Noël; deschidere ~27.11</t>
        </is>
      </c>
      <c r="F18" s="5" t="n"/>
      <c r="G18" s="5" t="n"/>
      <c r="H18" s="5" t="n"/>
      <c r="I18" s="5" t="n"/>
      <c r="J18" s="6">
        <f>IF(COUNT(F18:G18)=0,"",MIN(F18:G18))</f>
        <v/>
      </c>
      <c r="K18" s="6">
        <f>IF(COUNT(H18:I18)=0,"",MIN(H18:I18))</f>
        <v/>
      </c>
      <c r="L18" s="6">
        <f>IF(OR(J18="",K18=""),"",J18+K18)</f>
        <v/>
      </c>
      <c r="M18" s="6">
        <f>IF(L18="","",IF(F18=J18,"26.11","27.11")&amp;" → "&amp;IF(H18=K18,"30.11","01.12"))</f>
        <v/>
      </c>
      <c r="N18" s="4" t="n"/>
      <c r="O18" s="7" t="inlineStr">
        <is>
          <t>deschide</t>
        </is>
      </c>
      <c r="P18" s="7" t="inlineStr">
        <is>
          <t>deschide</t>
        </is>
      </c>
      <c r="Q18" s="7" t="inlineStr">
        <is>
          <t>deschide</t>
        </is>
      </c>
      <c r="R18" s="7" t="inlineStr">
        <is>
          <t>deschide</t>
        </is>
      </c>
      <c r="S18" s="7" t="inlineStr">
        <is>
          <t>deschide</t>
        </is>
      </c>
      <c r="T18" s="7" t="inlineStr">
        <is>
          <t>deschide</t>
        </is>
      </c>
    </row>
    <row r="19">
      <c r="A19" s="4" t="inlineStr">
        <is>
          <t>BVA</t>
        </is>
      </c>
      <c r="B19" s="4" t="inlineStr">
        <is>
          <t>Paris Beauvais</t>
        </is>
      </c>
      <c r="C19" s="4" t="inlineStr">
        <is>
          <t>FR</t>
        </is>
      </c>
      <c r="D19" s="4" t="inlineStr">
        <is>
          <t>Wizz, Ryanair</t>
        </is>
      </c>
      <c r="E19" s="4" t="inlineStr">
        <is>
          <t>Paris; autocar ~1h15 din Beauvais</t>
        </is>
      </c>
      <c r="F19" s="5" t="n"/>
      <c r="G19" s="5" t="n"/>
      <c r="H19" s="5" t="n"/>
      <c r="I19" s="5" t="n"/>
      <c r="J19" s="6">
        <f>IF(COUNT(F19:G19)=0,"",MIN(F19:G19))</f>
        <v/>
      </c>
      <c r="K19" s="6">
        <f>IF(COUNT(H19:I19)=0,"",MIN(H19:I19))</f>
        <v/>
      </c>
      <c r="L19" s="6">
        <f>IF(OR(J19="",K19=""),"",J19+K19)</f>
        <v/>
      </c>
      <c r="M19" s="6">
        <f>IF(L19="","",IF(F19=J19,"26.11","27.11")&amp;" → "&amp;IF(H19=K19,"30.11","01.12"))</f>
        <v/>
      </c>
      <c r="N19" s="4" t="n"/>
      <c r="O19" s="7" t="inlineStr">
        <is>
          <t>deschide</t>
        </is>
      </c>
      <c r="P19" s="7" t="inlineStr">
        <is>
          <t>deschide</t>
        </is>
      </c>
      <c r="Q19" s="7" t="inlineStr">
        <is>
          <t>deschide</t>
        </is>
      </c>
      <c r="R19" s="7" t="inlineStr">
        <is>
          <t>deschide</t>
        </is>
      </c>
      <c r="S19" s="7" t="inlineStr">
        <is>
          <t>deschide</t>
        </is>
      </c>
      <c r="T19" s="7" t="inlineStr">
        <is>
          <t>deschide</t>
        </is>
      </c>
    </row>
    <row r="20">
      <c r="A20" s="4" t="inlineStr">
        <is>
          <t>ORY</t>
        </is>
      </c>
      <c r="B20" s="4" t="inlineStr">
        <is>
          <t>Paris Orly</t>
        </is>
      </c>
      <c r="C20" s="4" t="inlineStr">
        <is>
          <t>FR</t>
        </is>
      </c>
      <c r="D20" s="4" t="inlineStr">
        <is>
          <t>Wizz (ruta retrasă aug 2026 – de verificat)</t>
        </is>
      </c>
      <c r="E20" s="4" t="inlineStr">
        <is>
          <t>Paris</t>
        </is>
      </c>
      <c r="F20" s="5" t="n"/>
      <c r="G20" s="5" t="n"/>
      <c r="H20" s="5" t="n"/>
      <c r="I20" s="5" t="n"/>
      <c r="J20" s="6">
        <f>IF(COUNT(F20:G20)=0,"",MIN(F20:G20))</f>
        <v/>
      </c>
      <c r="K20" s="6">
        <f>IF(COUNT(H20:I20)=0,"",MIN(H20:I20))</f>
        <v/>
      </c>
      <c r="L20" s="6">
        <f>IF(OR(J20="",K20=""),"",J20+K20)</f>
        <v/>
      </c>
      <c r="M20" s="6">
        <f>IF(L20="","",IF(F20=J20,"26.11","27.11")&amp;" → "&amp;IF(H20=K20,"30.11","01.12"))</f>
        <v/>
      </c>
      <c r="N20" s="4" t="n"/>
      <c r="O20" s="7" t="inlineStr">
        <is>
          <t>deschide</t>
        </is>
      </c>
      <c r="P20" s="7" t="inlineStr">
        <is>
          <t>deschide</t>
        </is>
      </c>
      <c r="Q20" s="7" t="inlineStr">
        <is>
          <t>deschide</t>
        </is>
      </c>
      <c r="R20" s="7" t="inlineStr">
        <is>
          <t>deschide</t>
        </is>
      </c>
      <c r="S20" s="7" t="inlineStr">
        <is>
          <t>deschide</t>
        </is>
      </c>
      <c r="T20" s="7" t="inlineStr">
        <is>
          <t>deschide</t>
        </is>
      </c>
    </row>
    <row r="21">
      <c r="A21" s="4" t="inlineStr">
        <is>
          <t>LYS</t>
        </is>
      </c>
      <c r="B21" s="4" t="inlineStr">
        <is>
          <t>Lyon</t>
        </is>
      </c>
      <c r="C21" s="4" t="inlineStr">
        <is>
          <t>FR</t>
        </is>
      </c>
      <c r="D21" s="4" t="inlineStr">
        <is>
          <t>Wizz</t>
        </is>
      </c>
      <c r="E21" s="4" t="inlineStr">
        <is>
          <t>Lyon (Fête des Lumières e 8.12, deci nu prinzi)</t>
        </is>
      </c>
      <c r="F21" s="5" t="n"/>
      <c r="G21" s="5" t="n"/>
      <c r="H21" s="5" t="n"/>
      <c r="I21" s="5" t="n"/>
      <c r="J21" s="6">
        <f>IF(COUNT(F21:G21)=0,"",MIN(F21:G21))</f>
        <v/>
      </c>
      <c r="K21" s="6">
        <f>IF(COUNT(H21:I21)=0,"",MIN(H21:I21))</f>
        <v/>
      </c>
      <c r="L21" s="6">
        <f>IF(OR(J21="",K21=""),"",J21+K21)</f>
        <v/>
      </c>
      <c r="M21" s="6">
        <f>IF(L21="","",IF(F21=J21,"26.11","27.11")&amp;" → "&amp;IF(H21=K21,"30.11","01.12"))</f>
        <v/>
      </c>
      <c r="N21" s="4" t="n"/>
      <c r="O21" s="7" t="inlineStr">
        <is>
          <t>deschide</t>
        </is>
      </c>
      <c r="P21" s="7" t="inlineStr">
        <is>
          <t>deschide</t>
        </is>
      </c>
      <c r="Q21" s="7" t="inlineStr">
        <is>
          <t>deschide</t>
        </is>
      </c>
      <c r="R21" s="7" t="inlineStr">
        <is>
          <t>deschide</t>
        </is>
      </c>
      <c r="S21" s="7" t="inlineStr">
        <is>
          <t>deschide</t>
        </is>
      </c>
      <c r="T21" s="7" t="inlineStr">
        <is>
          <t>deschide</t>
        </is>
      </c>
    </row>
    <row r="22">
      <c r="A22" s="4" t="inlineStr">
        <is>
          <t>NCE</t>
        </is>
      </c>
      <c r="B22" s="4" t="inlineStr">
        <is>
          <t>Nisa</t>
        </is>
      </c>
      <c r="C22" s="4" t="inlineStr">
        <is>
          <t>FR</t>
        </is>
      </c>
      <c r="D22" s="4" t="inlineStr">
        <is>
          <t>Wizz</t>
        </is>
      </c>
      <c r="E22" s="4" t="inlineStr">
        <is>
          <t>Mai cald; Monaco aproape</t>
        </is>
      </c>
      <c r="F22" s="5" t="n"/>
      <c r="G22" s="5" t="n"/>
      <c r="H22" s="5" t="n"/>
      <c r="I22" s="5" t="n"/>
      <c r="J22" s="6">
        <f>IF(COUNT(F22:G22)=0,"",MIN(F22:G22))</f>
        <v/>
      </c>
      <c r="K22" s="6">
        <f>IF(COUNT(H22:I22)=0,"",MIN(H22:I22))</f>
        <v/>
      </c>
      <c r="L22" s="6">
        <f>IF(OR(J22="",K22=""),"",J22+K22)</f>
        <v/>
      </c>
      <c r="M22" s="6">
        <f>IF(L22="","",IF(F22=J22,"26.11","27.11")&amp;" → "&amp;IF(H22=K22,"30.11","01.12"))</f>
        <v/>
      </c>
      <c r="N22" s="4" t="n"/>
      <c r="O22" s="7" t="inlineStr">
        <is>
          <t>deschide</t>
        </is>
      </c>
      <c r="P22" s="7" t="inlineStr">
        <is>
          <t>deschide</t>
        </is>
      </c>
      <c r="Q22" s="7" t="inlineStr">
        <is>
          <t>deschide</t>
        </is>
      </c>
      <c r="R22" s="7" t="inlineStr">
        <is>
          <t>deschide</t>
        </is>
      </c>
      <c r="S22" s="7" t="inlineStr">
        <is>
          <t>deschide</t>
        </is>
      </c>
      <c r="T22" s="7" t="inlineStr">
        <is>
          <t>deschide</t>
        </is>
      </c>
    </row>
    <row r="23">
      <c r="A23" s="4" t="inlineStr">
        <is>
          <t>VIE</t>
        </is>
      </c>
      <c r="B23" s="4" t="inlineStr">
        <is>
          <t>Viena</t>
        </is>
      </c>
      <c r="C23" s="4" t="inlineStr">
        <is>
          <t>AT</t>
        </is>
      </c>
      <c r="D23" s="4" t="inlineStr">
        <is>
          <t>Wizz, Austrian, TAROM</t>
        </is>
      </c>
      <c r="E23" s="4" t="inlineStr">
        <is>
          <t>Rathausplatz, Schönbrunn – deja deschise</t>
        </is>
      </c>
      <c r="F23" s="5" t="n"/>
      <c r="G23" s="5" t="n"/>
      <c r="H23" s="5" t="n"/>
      <c r="I23" s="5" t="n"/>
      <c r="J23" s="6">
        <f>IF(COUNT(F23:G23)=0,"",MIN(F23:G23))</f>
        <v/>
      </c>
      <c r="K23" s="6">
        <f>IF(COUNT(H23:I23)=0,"",MIN(H23:I23))</f>
        <v/>
      </c>
      <c r="L23" s="6">
        <f>IF(OR(J23="",K23=""),"",J23+K23)</f>
        <v/>
      </c>
      <c r="M23" s="6">
        <f>IF(L23="","",IF(F23=J23,"26.11","27.11")&amp;" → "&amp;IF(H23=K23,"30.11","01.12"))</f>
        <v/>
      </c>
      <c r="N23" s="4" t="n"/>
      <c r="O23" s="7" t="inlineStr">
        <is>
          <t>deschide</t>
        </is>
      </c>
      <c r="P23" s="7" t="inlineStr">
        <is>
          <t>deschide</t>
        </is>
      </c>
      <c r="Q23" s="7" t="inlineStr">
        <is>
          <t>deschide</t>
        </is>
      </c>
      <c r="R23" s="7" t="inlineStr">
        <is>
          <t>deschide</t>
        </is>
      </c>
      <c r="S23" s="7" t="inlineStr">
        <is>
          <t>deschide</t>
        </is>
      </c>
      <c r="T23" s="7" t="inlineStr">
        <is>
          <t>deschide</t>
        </is>
      </c>
    </row>
    <row r="24">
      <c r="A24" s="4" t="inlineStr">
        <is>
          <t>SZG</t>
        </is>
      </c>
      <c r="B24" s="4" t="inlineStr">
        <is>
          <t>Salzburg</t>
        </is>
      </c>
      <c r="C24" s="4" t="inlineStr">
        <is>
          <t>AT</t>
        </is>
      </c>
      <c r="D24" s="4" t="inlineStr">
        <is>
          <t>(de verificat)</t>
        </is>
      </c>
      <c r="E24" s="4" t="inlineStr">
        <is>
          <t>Christkindlmarkt Salzburg, Hallstatt</t>
        </is>
      </c>
      <c r="F24" s="5" t="n"/>
      <c r="G24" s="5" t="n"/>
      <c r="H24" s="5" t="n"/>
      <c r="I24" s="5" t="n"/>
      <c r="J24" s="6">
        <f>IF(COUNT(F24:G24)=0,"",MIN(F24:G24))</f>
        <v/>
      </c>
      <c r="K24" s="6">
        <f>IF(COUNT(H24:I24)=0,"",MIN(H24:I24))</f>
        <v/>
      </c>
      <c r="L24" s="6">
        <f>IF(OR(J24="",K24=""),"",J24+K24)</f>
        <v/>
      </c>
      <c r="M24" s="6">
        <f>IF(L24="","",IF(F24=J24,"26.11","27.11")&amp;" → "&amp;IF(H24=K24,"30.11","01.12"))</f>
        <v/>
      </c>
      <c r="N24" s="4" t="n"/>
      <c r="O24" s="7" t="inlineStr">
        <is>
          <t>deschide</t>
        </is>
      </c>
      <c r="P24" s="7" t="inlineStr">
        <is>
          <t>deschide</t>
        </is>
      </c>
      <c r="Q24" s="7" t="inlineStr">
        <is>
          <t>deschide</t>
        </is>
      </c>
      <c r="R24" s="7" t="inlineStr">
        <is>
          <t>deschide</t>
        </is>
      </c>
      <c r="S24" s="7" t="inlineStr">
        <is>
          <t>deschide</t>
        </is>
      </c>
      <c r="T24" s="7" t="inlineStr">
        <is>
          <t>deschide</t>
        </is>
      </c>
    </row>
    <row r="25">
      <c r="A25" s="4" t="inlineStr">
        <is>
          <t>INN</t>
        </is>
      </c>
      <c r="B25" s="4" t="inlineStr">
        <is>
          <t>Innsbruck</t>
        </is>
      </c>
      <c r="C25" s="4" t="inlineStr">
        <is>
          <t>AT</t>
        </is>
      </c>
      <c r="D25" s="4" t="inlineStr">
        <is>
          <t>(de verificat)</t>
        </is>
      </c>
      <c r="E25" s="4" t="inlineStr">
        <is>
          <t>Târguri alpine, Innsbruck</t>
        </is>
      </c>
      <c r="F25" s="5" t="n"/>
      <c r="G25" s="5" t="n"/>
      <c r="H25" s="5" t="n"/>
      <c r="I25" s="5" t="n"/>
      <c r="J25" s="6">
        <f>IF(COUNT(F25:G25)=0,"",MIN(F25:G25))</f>
        <v/>
      </c>
      <c r="K25" s="6">
        <f>IF(COUNT(H25:I25)=0,"",MIN(H25:I25))</f>
        <v/>
      </c>
      <c r="L25" s="6">
        <f>IF(OR(J25="",K25=""),"",J25+K25)</f>
        <v/>
      </c>
      <c r="M25" s="6">
        <f>IF(L25="","",IF(F25=J25,"26.11","27.11")&amp;" → "&amp;IF(H25=K25,"30.11","01.12"))</f>
        <v/>
      </c>
      <c r="N25" s="4" t="n"/>
      <c r="O25" s="7" t="inlineStr">
        <is>
          <t>deschide</t>
        </is>
      </c>
      <c r="P25" s="7" t="inlineStr">
        <is>
          <t>deschide</t>
        </is>
      </c>
      <c r="Q25" s="7" t="inlineStr">
        <is>
          <t>deschide</t>
        </is>
      </c>
      <c r="R25" s="7" t="inlineStr">
        <is>
          <t>deschide</t>
        </is>
      </c>
      <c r="S25" s="7" t="inlineStr">
        <is>
          <t>deschide</t>
        </is>
      </c>
      <c r="T25" s="7" t="inlineStr">
        <is>
          <t>deschide</t>
        </is>
      </c>
    </row>
    <row r="26">
      <c r="A26" s="4" t="inlineStr">
        <is>
          <t>CRL</t>
        </is>
      </c>
      <c r="B26" s="4" t="inlineStr">
        <is>
          <t>Bruxelles Charleroi</t>
        </is>
      </c>
      <c r="C26" s="4" t="inlineStr">
        <is>
          <t>BE</t>
        </is>
      </c>
      <c r="D26" s="4" t="inlineStr">
        <is>
          <t>Wizz, Ryanair</t>
        </is>
      </c>
      <c r="E26" s="4" t="inlineStr">
        <is>
          <t>Bruxelles Winter Wonders, Bruges, Gent</t>
        </is>
      </c>
      <c r="F26" s="5" t="n"/>
      <c r="G26" s="5" t="n"/>
      <c r="H26" s="5" t="n"/>
      <c r="I26" s="5" t="n"/>
      <c r="J26" s="6">
        <f>IF(COUNT(F26:G26)=0,"",MIN(F26:G26))</f>
        <v/>
      </c>
      <c r="K26" s="6">
        <f>IF(COUNT(H26:I26)=0,"",MIN(H26:I26))</f>
        <v/>
      </c>
      <c r="L26" s="6">
        <f>IF(OR(J26="",K26=""),"",J26+K26)</f>
        <v/>
      </c>
      <c r="M26" s="6">
        <f>IF(L26="","",IF(F26=J26,"26.11","27.11")&amp;" → "&amp;IF(H26=K26,"30.11","01.12"))</f>
        <v/>
      </c>
      <c r="N26" s="4" t="n"/>
      <c r="O26" s="7" t="inlineStr">
        <is>
          <t>deschide</t>
        </is>
      </c>
      <c r="P26" s="7" t="inlineStr">
        <is>
          <t>deschide</t>
        </is>
      </c>
      <c r="Q26" s="7" t="inlineStr">
        <is>
          <t>deschide</t>
        </is>
      </c>
      <c r="R26" s="7" t="inlineStr">
        <is>
          <t>deschide</t>
        </is>
      </c>
      <c r="S26" s="7" t="inlineStr">
        <is>
          <t>deschide</t>
        </is>
      </c>
      <c r="T26" s="7" t="inlineStr">
        <is>
          <t>deschide</t>
        </is>
      </c>
    </row>
    <row r="27">
      <c r="A27" s="4" t="inlineStr">
        <is>
          <t>MST</t>
        </is>
      </c>
      <c r="B27" s="4" t="inlineStr">
        <is>
          <t>Maastricht/Aachen</t>
        </is>
      </c>
      <c r="C27" s="4" t="inlineStr">
        <is>
          <t>NL</t>
        </is>
      </c>
      <c r="D27" s="4" t="inlineStr">
        <is>
          <t>Wizz (nouă iarna 25/26)</t>
        </is>
      </c>
      <c r="E27" s="4" t="inlineStr">
        <is>
          <t>Maastricht, Aachen, Valkenburg (târg în peșteri)</t>
        </is>
      </c>
      <c r="F27" s="5" t="n"/>
      <c r="G27" s="5" t="n"/>
      <c r="H27" s="5" t="n"/>
      <c r="I27" s="5" t="n"/>
      <c r="J27" s="6">
        <f>IF(COUNT(F27:G27)=0,"",MIN(F27:G27))</f>
        <v/>
      </c>
      <c r="K27" s="6">
        <f>IF(COUNT(H27:I27)=0,"",MIN(H27:I27))</f>
        <v/>
      </c>
      <c r="L27" s="6">
        <f>IF(OR(J27="",K27=""),"",J27+K27)</f>
        <v/>
      </c>
      <c r="M27" s="6">
        <f>IF(L27="","",IF(F27=J27,"26.11","27.11")&amp;" → "&amp;IF(H27=K27,"30.11","01.12"))</f>
        <v/>
      </c>
      <c r="N27" s="4" t="n"/>
      <c r="O27" s="7" t="inlineStr">
        <is>
          <t>deschide</t>
        </is>
      </c>
      <c r="P27" s="7" t="inlineStr">
        <is>
          <t>deschide</t>
        </is>
      </c>
      <c r="Q27" s="7" t="inlineStr">
        <is>
          <t>deschide</t>
        </is>
      </c>
      <c r="R27" s="7" t="inlineStr">
        <is>
          <t>deschide</t>
        </is>
      </c>
      <c r="S27" s="7" t="inlineStr">
        <is>
          <t>deschide</t>
        </is>
      </c>
      <c r="T27" s="7" t="inlineStr">
        <is>
          <t>deschide</t>
        </is>
      </c>
    </row>
    <row r="28">
      <c r="A28" s="4" t="inlineStr">
        <is>
          <t>EIN</t>
        </is>
      </c>
      <c r="B28" s="4" t="inlineStr">
        <is>
          <t>Eindhoven</t>
        </is>
      </c>
      <c r="C28" s="4" t="inlineStr">
        <is>
          <t>NL</t>
        </is>
      </c>
      <c r="D28" s="4" t="inlineStr">
        <is>
          <t>Wizz</t>
        </is>
      </c>
      <c r="E28" s="4" t="inlineStr">
        <is>
          <t>Amsterdam ~1h20 cu trenul</t>
        </is>
      </c>
      <c r="F28" s="5" t="n"/>
      <c r="G28" s="5" t="n"/>
      <c r="H28" s="5" t="n"/>
      <c r="I28" s="5" t="n"/>
      <c r="J28" s="6">
        <f>IF(COUNT(F28:G28)=0,"",MIN(F28:G28))</f>
        <v/>
      </c>
      <c r="K28" s="6">
        <f>IF(COUNT(H28:I28)=0,"",MIN(H28:I28))</f>
        <v/>
      </c>
      <c r="L28" s="6">
        <f>IF(OR(J28="",K28=""),"",J28+K28)</f>
        <v/>
      </c>
      <c r="M28" s="6">
        <f>IF(L28="","",IF(F28=J28,"26.11","27.11")&amp;" → "&amp;IF(H28=K28,"30.11","01.12"))</f>
        <v/>
      </c>
      <c r="N28" s="4" t="n"/>
      <c r="O28" s="7" t="inlineStr">
        <is>
          <t>deschide</t>
        </is>
      </c>
      <c r="P28" s="7" t="inlineStr">
        <is>
          <t>deschide</t>
        </is>
      </c>
      <c r="Q28" s="7" t="inlineStr">
        <is>
          <t>deschide</t>
        </is>
      </c>
      <c r="R28" s="7" t="inlineStr">
        <is>
          <t>deschide</t>
        </is>
      </c>
      <c r="S28" s="7" t="inlineStr">
        <is>
          <t>deschide</t>
        </is>
      </c>
      <c r="T28" s="7" t="inlineStr">
        <is>
          <t>deschide</t>
        </is>
      </c>
    </row>
    <row r="29">
      <c r="A29" s="4" t="inlineStr">
        <is>
          <t>LUX</t>
        </is>
      </c>
      <c r="B29" s="4" t="inlineStr">
        <is>
          <t>Luxemburg</t>
        </is>
      </c>
      <c r="C29" s="4" t="inlineStr">
        <is>
          <t>LU</t>
        </is>
      </c>
      <c r="D29" s="4" t="inlineStr">
        <is>
          <t>Luxair/Wizz (de verificat)</t>
        </is>
      </c>
      <c r="E29" s="4" t="inlineStr">
        <is>
          <t>Winterlights; Trier aproape</t>
        </is>
      </c>
      <c r="F29" s="5" t="n"/>
      <c r="G29" s="5" t="n"/>
      <c r="H29" s="5" t="n"/>
      <c r="I29" s="5" t="n"/>
      <c r="J29" s="6">
        <f>IF(COUNT(F29:G29)=0,"",MIN(F29:G29))</f>
        <v/>
      </c>
      <c r="K29" s="6">
        <f>IF(COUNT(H29:I29)=0,"",MIN(H29:I29))</f>
        <v/>
      </c>
      <c r="L29" s="6">
        <f>IF(OR(J29="",K29=""),"",J29+K29)</f>
        <v/>
      </c>
      <c r="M29" s="6">
        <f>IF(L29="","",IF(F29=J29,"26.11","27.11")&amp;" → "&amp;IF(H29=K29,"30.11","01.12"))</f>
        <v/>
      </c>
      <c r="N29" s="4" t="n"/>
      <c r="O29" s="7" t="inlineStr">
        <is>
          <t>deschide</t>
        </is>
      </c>
      <c r="P29" s="7" t="inlineStr">
        <is>
          <t>deschide</t>
        </is>
      </c>
      <c r="Q29" s="7" t="inlineStr">
        <is>
          <t>deschide</t>
        </is>
      </c>
      <c r="R29" s="7" t="inlineStr">
        <is>
          <t>deschide</t>
        </is>
      </c>
      <c r="S29" s="7" t="inlineStr">
        <is>
          <t>deschide</t>
        </is>
      </c>
      <c r="T29" s="7" t="inlineStr">
        <is>
          <t>deschide</t>
        </is>
      </c>
    </row>
    <row r="30">
      <c r="A30" s="4" t="inlineStr">
        <is>
          <t>PRG</t>
        </is>
      </c>
      <c r="B30" s="4" t="inlineStr">
        <is>
          <t>Praga</t>
        </is>
      </c>
      <c r="C30" s="4" t="inlineStr">
        <is>
          <t>CZ</t>
        </is>
      </c>
      <c r="D30" s="4" t="inlineStr">
        <is>
          <t>Wizz</t>
        </is>
      </c>
      <c r="E30" s="4" t="inlineStr">
        <is>
          <t>Staroměstské náměstí – foarte bun</t>
        </is>
      </c>
      <c r="F30" s="5" t="n"/>
      <c r="G30" s="5" t="n"/>
      <c r="H30" s="5" t="n"/>
      <c r="I30" s="5" t="n"/>
      <c r="J30" s="6">
        <f>IF(COUNT(F30:G30)=0,"",MIN(F30:G30))</f>
        <v/>
      </c>
      <c r="K30" s="6">
        <f>IF(COUNT(H30:I30)=0,"",MIN(H30:I30))</f>
        <v/>
      </c>
      <c r="L30" s="6">
        <f>IF(OR(J30="",K30=""),"",J30+K30)</f>
        <v/>
      </c>
      <c r="M30" s="6">
        <f>IF(L30="","",IF(F30=J30,"26.11","27.11")&amp;" → "&amp;IF(H30=K30,"30.11","01.12"))</f>
        <v/>
      </c>
      <c r="N30" s="4" t="n"/>
      <c r="O30" s="7" t="inlineStr">
        <is>
          <t>deschide</t>
        </is>
      </c>
      <c r="P30" s="7" t="inlineStr">
        <is>
          <t>deschide</t>
        </is>
      </c>
      <c r="Q30" s="7" t="inlineStr">
        <is>
          <t>deschide</t>
        </is>
      </c>
      <c r="R30" s="7" t="inlineStr">
        <is>
          <t>deschide</t>
        </is>
      </c>
      <c r="S30" s="7" t="inlineStr">
        <is>
          <t>deschide</t>
        </is>
      </c>
      <c r="T30" s="7" t="inlineStr">
        <is>
          <t>deschide</t>
        </is>
      </c>
    </row>
    <row r="31">
      <c r="A31" s="4" t="inlineStr">
        <is>
          <t>BTS</t>
        </is>
      </c>
      <c r="B31" s="4" t="inlineStr">
        <is>
          <t>Bratislava</t>
        </is>
      </c>
      <c r="C31" s="4" t="inlineStr">
        <is>
          <t>SK</t>
        </is>
      </c>
      <c r="D31" s="4" t="inlineStr">
        <is>
          <t>Wizz</t>
        </is>
      </c>
      <c r="E31" s="4" t="inlineStr">
        <is>
          <t>Bratislava + Viena la 1h</t>
        </is>
      </c>
      <c r="F31" s="5" t="n"/>
      <c r="G31" s="5" t="n"/>
      <c r="H31" s="5" t="n"/>
      <c r="I31" s="5" t="n"/>
      <c r="J31" s="6">
        <f>IF(COUNT(F31:G31)=0,"",MIN(F31:G31))</f>
        <v/>
      </c>
      <c r="K31" s="6">
        <f>IF(COUNT(H31:I31)=0,"",MIN(H31:I31))</f>
        <v/>
      </c>
      <c r="L31" s="6">
        <f>IF(OR(J31="",K31=""),"",J31+K31)</f>
        <v/>
      </c>
      <c r="M31" s="6">
        <f>IF(L31="","",IF(F31=J31,"26.11","27.11")&amp;" → "&amp;IF(H31=K31,"30.11","01.12"))</f>
        <v/>
      </c>
      <c r="N31" s="4" t="n"/>
      <c r="O31" s="7" t="inlineStr">
        <is>
          <t>deschide</t>
        </is>
      </c>
      <c r="P31" s="7" t="inlineStr">
        <is>
          <t>deschide</t>
        </is>
      </c>
      <c r="Q31" s="7" t="inlineStr">
        <is>
          <t>deschide</t>
        </is>
      </c>
      <c r="R31" s="7" t="inlineStr">
        <is>
          <t>deschide</t>
        </is>
      </c>
      <c r="S31" s="7" t="inlineStr">
        <is>
          <t>deschide</t>
        </is>
      </c>
      <c r="T31" s="7" t="inlineStr">
        <is>
          <t>deschide</t>
        </is>
      </c>
    </row>
    <row r="32">
      <c r="A32" s="4" t="inlineStr">
        <is>
          <t>BGY</t>
        </is>
      </c>
      <c r="B32" s="4" t="inlineStr">
        <is>
          <t>Milano Bergamo</t>
        </is>
      </c>
      <c r="C32" s="4" t="inlineStr">
        <is>
          <t>IT</t>
        </is>
      </c>
      <c r="D32" s="4" t="inlineStr">
        <is>
          <t>Ryanair, Wizz</t>
        </is>
      </c>
      <c r="E32" s="4" t="inlineStr">
        <is>
          <t>Milano, Como; Bolzano/Merano (Alpi) la ~3h</t>
        </is>
      </c>
      <c r="F32" s="5" t="n"/>
      <c r="G32" s="5" t="n"/>
      <c r="H32" s="5" t="n"/>
      <c r="I32" s="5" t="n"/>
      <c r="J32" s="6">
        <f>IF(COUNT(F32:G32)=0,"",MIN(F32:G32))</f>
        <v/>
      </c>
      <c r="K32" s="6">
        <f>IF(COUNT(H32:I32)=0,"",MIN(H32:I32))</f>
        <v/>
      </c>
      <c r="L32" s="6">
        <f>IF(OR(J32="",K32=""),"",J32+K32)</f>
        <v/>
      </c>
      <c r="M32" s="6">
        <f>IF(L32="","",IF(F32=J32,"26.11","27.11")&amp;" → "&amp;IF(H32=K32,"30.11","01.12"))</f>
        <v/>
      </c>
      <c r="N32" s="4" t="n"/>
      <c r="O32" s="7" t="inlineStr">
        <is>
          <t>deschide</t>
        </is>
      </c>
      <c r="P32" s="7" t="inlineStr">
        <is>
          <t>deschide</t>
        </is>
      </c>
      <c r="Q32" s="7" t="inlineStr">
        <is>
          <t>deschide</t>
        </is>
      </c>
      <c r="R32" s="7" t="inlineStr">
        <is>
          <t>deschide</t>
        </is>
      </c>
      <c r="S32" s="7" t="inlineStr">
        <is>
          <t>deschide</t>
        </is>
      </c>
      <c r="T32" s="7" t="inlineStr">
        <is>
          <t>deschide</t>
        </is>
      </c>
    </row>
    <row r="33">
      <c r="A33" s="4" t="inlineStr">
        <is>
          <t>MXP</t>
        </is>
      </c>
      <c r="B33" s="4" t="inlineStr">
        <is>
          <t>Milano Malpensa</t>
        </is>
      </c>
      <c r="C33" s="4" t="inlineStr">
        <is>
          <t>IT</t>
        </is>
      </c>
      <c r="D33" s="4" t="inlineStr">
        <is>
          <t>Wizz</t>
        </is>
      </c>
      <c r="E33" s="4" t="inlineStr">
        <is>
          <t>Milano</t>
        </is>
      </c>
      <c r="F33" s="5" t="n"/>
      <c r="G33" s="5" t="n"/>
      <c r="H33" s="5" t="n"/>
      <c r="I33" s="5" t="n"/>
      <c r="J33" s="6">
        <f>IF(COUNT(F33:G33)=0,"",MIN(F33:G33))</f>
        <v/>
      </c>
      <c r="K33" s="6">
        <f>IF(COUNT(H33:I33)=0,"",MIN(H33:I33))</f>
        <v/>
      </c>
      <c r="L33" s="6">
        <f>IF(OR(J33="",K33=""),"",J33+K33)</f>
        <v/>
      </c>
      <c r="M33" s="6">
        <f>IF(L33="","",IF(F33=J33,"26.11","27.11")&amp;" → "&amp;IF(H33=K33,"30.11","01.12"))</f>
        <v/>
      </c>
      <c r="N33" s="4" t="n"/>
      <c r="O33" s="7" t="inlineStr">
        <is>
          <t>deschide</t>
        </is>
      </c>
      <c r="P33" s="7" t="inlineStr">
        <is>
          <t>deschide</t>
        </is>
      </c>
      <c r="Q33" s="7" t="inlineStr">
        <is>
          <t>deschide</t>
        </is>
      </c>
      <c r="R33" s="7" t="inlineStr">
        <is>
          <t>deschide</t>
        </is>
      </c>
      <c r="S33" s="7" t="inlineStr">
        <is>
          <t>deschide</t>
        </is>
      </c>
      <c r="T33" s="7" t="inlineStr">
        <is>
          <t>deschide</t>
        </is>
      </c>
    </row>
    <row r="34">
      <c r="A34" s="4" t="inlineStr">
        <is>
          <t>TSF</t>
        </is>
      </c>
      <c r="B34" s="4" t="inlineStr">
        <is>
          <t>Treviso (Veneția)</t>
        </is>
      </c>
      <c r="C34" s="4" t="inlineStr">
        <is>
          <t>IT</t>
        </is>
      </c>
      <c r="D34" s="4" t="inlineStr">
        <is>
          <t>Ryanair, Wizz</t>
        </is>
      </c>
      <c r="E34" s="4" t="inlineStr">
        <is>
          <t>Veneția; Trentino aproape</t>
        </is>
      </c>
      <c r="F34" s="5" t="n"/>
      <c r="G34" s="5" t="n"/>
      <c r="H34" s="5" t="n"/>
      <c r="I34" s="5" t="n"/>
      <c r="J34" s="6">
        <f>IF(COUNT(F34:G34)=0,"",MIN(F34:G34))</f>
        <v/>
      </c>
      <c r="K34" s="6">
        <f>IF(COUNT(H34:I34)=0,"",MIN(H34:I34))</f>
        <v/>
      </c>
      <c r="L34" s="6">
        <f>IF(OR(J34="",K34=""),"",J34+K34)</f>
        <v/>
      </c>
      <c r="M34" s="6">
        <f>IF(L34="","",IF(F34=J34,"26.11","27.11")&amp;" → "&amp;IF(H34=K34,"30.11","01.12"))</f>
        <v/>
      </c>
      <c r="N34" s="4" t="n"/>
      <c r="O34" s="7" t="inlineStr">
        <is>
          <t>deschide</t>
        </is>
      </c>
      <c r="P34" s="7" t="inlineStr">
        <is>
          <t>deschide</t>
        </is>
      </c>
      <c r="Q34" s="7" t="inlineStr">
        <is>
          <t>deschide</t>
        </is>
      </c>
      <c r="R34" s="7" t="inlineStr">
        <is>
          <t>deschide</t>
        </is>
      </c>
      <c r="S34" s="7" t="inlineStr">
        <is>
          <t>deschide</t>
        </is>
      </c>
      <c r="T34" s="7" t="inlineStr">
        <is>
          <t>deschide</t>
        </is>
      </c>
    </row>
    <row r="35">
      <c r="A35" s="4" t="inlineStr">
        <is>
          <t>VRN</t>
        </is>
      </c>
      <c r="B35" s="4" t="inlineStr">
        <is>
          <t>Verona</t>
        </is>
      </c>
      <c r="C35" s="4" t="inlineStr">
        <is>
          <t>IT</t>
        </is>
      </c>
      <c r="D35" s="4" t="inlineStr">
        <is>
          <t>(de verificat)</t>
        </is>
      </c>
      <c r="E35" s="4" t="inlineStr">
        <is>
          <t>Verona + Trento/Bolzano</t>
        </is>
      </c>
      <c r="F35" s="5" t="n"/>
      <c r="G35" s="5" t="n"/>
      <c r="H35" s="5" t="n"/>
      <c r="I35" s="5" t="n"/>
      <c r="J35" s="6">
        <f>IF(COUNT(F35:G35)=0,"",MIN(F35:G35))</f>
        <v/>
      </c>
      <c r="K35" s="6">
        <f>IF(COUNT(H35:I35)=0,"",MIN(H35:I35))</f>
        <v/>
      </c>
      <c r="L35" s="6">
        <f>IF(OR(J35="",K35=""),"",J35+K35)</f>
        <v/>
      </c>
      <c r="M35" s="6">
        <f>IF(L35="","",IF(F35=J35,"26.11","27.11")&amp;" → "&amp;IF(H35=K35,"30.11","01.12"))</f>
        <v/>
      </c>
      <c r="N35" s="4" t="n"/>
      <c r="O35" s="7" t="inlineStr">
        <is>
          <t>deschide</t>
        </is>
      </c>
      <c r="P35" s="7" t="inlineStr">
        <is>
          <t>deschide</t>
        </is>
      </c>
      <c r="Q35" s="7" t="inlineStr">
        <is>
          <t>deschide</t>
        </is>
      </c>
      <c r="R35" s="7" t="inlineStr">
        <is>
          <t>deschide</t>
        </is>
      </c>
      <c r="S35" s="7" t="inlineStr">
        <is>
          <t>deschide</t>
        </is>
      </c>
      <c r="T35" s="7" t="inlineStr">
        <is>
          <t>deschide</t>
        </is>
      </c>
    </row>
    <row r="36">
      <c r="A36" s="4" t="inlineStr">
        <is>
          <t>BLQ</t>
        </is>
      </c>
      <c r="B36" s="4" t="inlineStr">
        <is>
          <t>Bologna</t>
        </is>
      </c>
      <c r="C36" s="4" t="inlineStr">
        <is>
          <t>IT</t>
        </is>
      </c>
      <c r="D36" s="4" t="inlineStr">
        <is>
          <t>Ryanair, Wizz</t>
        </is>
      </c>
      <c r="E36" s="4" t="inlineStr">
        <is>
          <t>Bologna</t>
        </is>
      </c>
      <c r="F36" s="5" t="n"/>
      <c r="G36" s="5" t="n"/>
      <c r="H36" s="5" t="n"/>
      <c r="I36" s="5" t="n"/>
      <c r="J36" s="6">
        <f>IF(COUNT(F36:G36)=0,"",MIN(F36:G36))</f>
        <v/>
      </c>
      <c r="K36" s="6">
        <f>IF(COUNT(H36:I36)=0,"",MIN(H36:I36))</f>
        <v/>
      </c>
      <c r="L36" s="6">
        <f>IF(OR(J36="",K36=""),"",J36+K36)</f>
        <v/>
      </c>
      <c r="M36" s="6">
        <f>IF(L36="","",IF(F36=J36,"26.11","27.11")&amp;" → "&amp;IF(H36=K36,"30.11","01.12"))</f>
        <v/>
      </c>
      <c r="N36" s="4" t="n"/>
      <c r="O36" s="7" t="inlineStr">
        <is>
          <t>deschide</t>
        </is>
      </c>
      <c r="P36" s="7" t="inlineStr">
        <is>
          <t>deschide</t>
        </is>
      </c>
      <c r="Q36" s="7" t="inlineStr">
        <is>
          <t>deschide</t>
        </is>
      </c>
      <c r="R36" s="7" t="inlineStr">
        <is>
          <t>deschide</t>
        </is>
      </c>
      <c r="S36" s="7" t="inlineStr">
        <is>
          <t>deschide</t>
        </is>
      </c>
      <c r="T36" s="7" t="inlineStr">
        <is>
          <t>deschide</t>
        </is>
      </c>
    </row>
    <row r="37">
      <c r="A37" s="4" t="inlineStr">
        <is>
          <t>STN</t>
        </is>
      </c>
      <c r="B37" s="4" t="inlineStr">
        <is>
          <t>Londra Stansted</t>
        </is>
      </c>
      <c r="C37" s="4" t="inlineStr">
        <is>
          <t>UK</t>
        </is>
      </c>
      <c r="D37" s="4" t="inlineStr">
        <is>
          <t>Ryanair</t>
        </is>
      </c>
      <c r="E37" s="4" t="inlineStr">
        <is>
          <t>Winter Wonderland Hyde Park</t>
        </is>
      </c>
      <c r="F37" s="5" t="n"/>
      <c r="G37" s="5" t="n"/>
      <c r="H37" s="5" t="n"/>
      <c r="I37" s="5" t="n"/>
      <c r="J37" s="6">
        <f>IF(COUNT(F37:G37)=0,"",MIN(F37:G37))</f>
        <v/>
      </c>
      <c r="K37" s="6">
        <f>IF(COUNT(H37:I37)=0,"",MIN(H37:I37))</f>
        <v/>
      </c>
      <c r="L37" s="6">
        <f>IF(OR(J37="",K37=""),"",J37+K37)</f>
        <v/>
      </c>
      <c r="M37" s="6">
        <f>IF(L37="","",IF(F37=J37,"26.11","27.11")&amp;" → "&amp;IF(H37=K37,"30.11","01.12"))</f>
        <v/>
      </c>
      <c r="N37" s="4" t="n"/>
      <c r="O37" s="7" t="inlineStr">
        <is>
          <t>deschide</t>
        </is>
      </c>
      <c r="P37" s="7" t="inlineStr">
        <is>
          <t>deschide</t>
        </is>
      </c>
      <c r="Q37" s="7" t="inlineStr">
        <is>
          <t>deschide</t>
        </is>
      </c>
      <c r="R37" s="7" t="inlineStr">
        <is>
          <t>deschide</t>
        </is>
      </c>
      <c r="S37" s="7" t="inlineStr">
        <is>
          <t>deschide</t>
        </is>
      </c>
      <c r="T37" s="7" t="inlineStr">
        <is>
          <t>deschide</t>
        </is>
      </c>
    </row>
    <row r="38">
      <c r="A38" s="4" t="inlineStr">
        <is>
          <t>LTN</t>
        </is>
      </c>
      <c r="B38" s="4" t="inlineStr">
        <is>
          <t>Londra Luton</t>
        </is>
      </c>
      <c r="C38" s="4" t="inlineStr">
        <is>
          <t>UK</t>
        </is>
      </c>
      <c r="D38" s="4" t="inlineStr">
        <is>
          <t>Wizz</t>
        </is>
      </c>
      <c r="E38" s="4" t="inlineStr">
        <is>
          <t>Winter Wonderland Hyde Park</t>
        </is>
      </c>
      <c r="F38" s="5" t="n"/>
      <c r="G38" s="5" t="n"/>
      <c r="H38" s="5" t="n"/>
      <c r="I38" s="5" t="n"/>
      <c r="J38" s="6">
        <f>IF(COUNT(F38:G38)=0,"",MIN(F38:G38))</f>
        <v/>
      </c>
      <c r="K38" s="6">
        <f>IF(COUNT(H38:I38)=0,"",MIN(H38:I38))</f>
        <v/>
      </c>
      <c r="L38" s="6">
        <f>IF(OR(J38="",K38=""),"",J38+K38)</f>
        <v/>
      </c>
      <c r="M38" s="6">
        <f>IF(L38="","",IF(F38=J38,"26.11","27.11")&amp;" → "&amp;IF(H38=K38,"30.11","01.12"))</f>
        <v/>
      </c>
      <c r="N38" s="4" t="n"/>
      <c r="O38" s="7" t="inlineStr">
        <is>
          <t>deschide</t>
        </is>
      </c>
      <c r="P38" s="7" t="inlineStr">
        <is>
          <t>deschide</t>
        </is>
      </c>
      <c r="Q38" s="7" t="inlineStr">
        <is>
          <t>deschide</t>
        </is>
      </c>
      <c r="R38" s="7" t="inlineStr">
        <is>
          <t>deschide</t>
        </is>
      </c>
      <c r="S38" s="7" t="inlineStr">
        <is>
          <t>deschide</t>
        </is>
      </c>
      <c r="T38" s="7" t="inlineStr">
        <is>
          <t>deschide</t>
        </is>
      </c>
    </row>
    <row r="39">
      <c r="A39" s="4" t="inlineStr">
        <is>
          <t>CPH</t>
        </is>
      </c>
      <c r="B39" s="4" t="inlineStr">
        <is>
          <t>Copenhaga</t>
        </is>
      </c>
      <c r="C39" s="4" t="inlineStr">
        <is>
          <t>DK</t>
        </is>
      </c>
      <c r="D39" s="4" t="inlineStr">
        <is>
          <t>Wizz (de verificat)</t>
        </is>
      </c>
      <c r="E39" s="4" t="inlineStr">
        <is>
          <t>Tivoli Christmas</t>
        </is>
      </c>
      <c r="F39" s="5" t="n"/>
      <c r="G39" s="5" t="n"/>
      <c r="H39" s="5" t="n"/>
      <c r="I39" s="5" t="n"/>
      <c r="J39" s="6">
        <f>IF(COUNT(F39:G39)=0,"",MIN(F39:G39))</f>
        <v/>
      </c>
      <c r="K39" s="6">
        <f>IF(COUNT(H39:I39)=0,"",MIN(H39:I39))</f>
        <v/>
      </c>
      <c r="L39" s="6">
        <f>IF(OR(J39="",K39=""),"",J39+K39)</f>
        <v/>
      </c>
      <c r="M39" s="6">
        <f>IF(L39="","",IF(F39=J39,"26.11","27.11")&amp;" → "&amp;IF(H39=K39,"30.11","01.12"))</f>
        <v/>
      </c>
      <c r="N39" s="4" t="n"/>
      <c r="O39" s="7" t="inlineStr">
        <is>
          <t>deschide</t>
        </is>
      </c>
      <c r="P39" s="7" t="inlineStr">
        <is>
          <t>deschide</t>
        </is>
      </c>
      <c r="Q39" s="7" t="inlineStr">
        <is>
          <t>deschide</t>
        </is>
      </c>
      <c r="R39" s="7" t="inlineStr">
        <is>
          <t>deschide</t>
        </is>
      </c>
      <c r="S39" s="7" t="inlineStr">
        <is>
          <t>deschide</t>
        </is>
      </c>
      <c r="T39" s="7" t="inlineStr">
        <is>
          <t>deschide</t>
        </is>
      </c>
    </row>
  </sheetData>
  <autoFilter ref="A3:T39"/>
  <conditionalFormatting sqref="L4:L3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4:I39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dataValidations count="1">
    <dataValidation sqref="N4:N39" showDropDown="0" showInputMessage="0" showErrorMessage="0" allowBlank="1" type="list">
      <formula1>"da,nu"</formula1>
    </dataValidation>
  </dataValidations>
  <hyperlinks>
    <hyperlink xmlns:r="http://schemas.openxmlformats.org/officeDocument/2006/relationships" ref="O4" r:id="rId1"/>
    <hyperlink xmlns:r="http://schemas.openxmlformats.org/officeDocument/2006/relationships" ref="P4" r:id="rId2"/>
    <hyperlink xmlns:r="http://schemas.openxmlformats.org/officeDocument/2006/relationships" ref="Q4" r:id="rId3"/>
    <hyperlink xmlns:r="http://schemas.openxmlformats.org/officeDocument/2006/relationships" ref="R4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Q5" r:id="rId9"/>
    <hyperlink xmlns:r="http://schemas.openxmlformats.org/officeDocument/2006/relationships" ref="R5" r:id="rId10"/>
    <hyperlink xmlns:r="http://schemas.openxmlformats.org/officeDocument/2006/relationships" ref="S5" r:id="rId11"/>
    <hyperlink xmlns:r="http://schemas.openxmlformats.org/officeDocument/2006/relationships" ref="T5" r:id="rId12"/>
    <hyperlink xmlns:r="http://schemas.openxmlformats.org/officeDocument/2006/relationships" ref="O6" r:id="rId13"/>
    <hyperlink xmlns:r="http://schemas.openxmlformats.org/officeDocument/2006/relationships" ref="P6" r:id="rId14"/>
    <hyperlink xmlns:r="http://schemas.openxmlformats.org/officeDocument/2006/relationships" ref="Q6" r:id="rId15"/>
    <hyperlink xmlns:r="http://schemas.openxmlformats.org/officeDocument/2006/relationships" ref="R6" r:id="rId16"/>
    <hyperlink xmlns:r="http://schemas.openxmlformats.org/officeDocument/2006/relationships" ref="S6" r:id="rId17"/>
    <hyperlink xmlns:r="http://schemas.openxmlformats.org/officeDocument/2006/relationships" ref="T6" r:id="rId18"/>
    <hyperlink xmlns:r="http://schemas.openxmlformats.org/officeDocument/2006/relationships" ref="O7" r:id="rId19"/>
    <hyperlink xmlns:r="http://schemas.openxmlformats.org/officeDocument/2006/relationships" ref="P7" r:id="rId20"/>
    <hyperlink xmlns:r="http://schemas.openxmlformats.org/officeDocument/2006/relationships" ref="Q7" r:id="rId21"/>
    <hyperlink xmlns:r="http://schemas.openxmlformats.org/officeDocument/2006/relationships" ref="R7" r:id="rId22"/>
    <hyperlink xmlns:r="http://schemas.openxmlformats.org/officeDocument/2006/relationships" ref="S7" r:id="rId23"/>
    <hyperlink xmlns:r="http://schemas.openxmlformats.org/officeDocument/2006/relationships" ref="T7" r:id="rId24"/>
    <hyperlink xmlns:r="http://schemas.openxmlformats.org/officeDocument/2006/relationships" ref="O8" r:id="rId25"/>
    <hyperlink xmlns:r="http://schemas.openxmlformats.org/officeDocument/2006/relationships" ref="P8" r:id="rId26"/>
    <hyperlink xmlns:r="http://schemas.openxmlformats.org/officeDocument/2006/relationships" ref="Q8" r:id="rId27"/>
    <hyperlink xmlns:r="http://schemas.openxmlformats.org/officeDocument/2006/relationships" ref="R8" r:id="rId28"/>
    <hyperlink xmlns:r="http://schemas.openxmlformats.org/officeDocument/2006/relationships" ref="S8" r:id="rId29"/>
    <hyperlink xmlns:r="http://schemas.openxmlformats.org/officeDocument/2006/relationships" ref="T8" r:id="rId30"/>
    <hyperlink xmlns:r="http://schemas.openxmlformats.org/officeDocument/2006/relationships" ref="O9" r:id="rId31"/>
    <hyperlink xmlns:r="http://schemas.openxmlformats.org/officeDocument/2006/relationships" ref="P9" r:id="rId32"/>
    <hyperlink xmlns:r="http://schemas.openxmlformats.org/officeDocument/2006/relationships" ref="Q9" r:id="rId33"/>
    <hyperlink xmlns:r="http://schemas.openxmlformats.org/officeDocument/2006/relationships" ref="R9" r:id="rId34"/>
    <hyperlink xmlns:r="http://schemas.openxmlformats.org/officeDocument/2006/relationships" ref="S9" r:id="rId35"/>
    <hyperlink xmlns:r="http://schemas.openxmlformats.org/officeDocument/2006/relationships" ref="T9" r:id="rId36"/>
    <hyperlink xmlns:r="http://schemas.openxmlformats.org/officeDocument/2006/relationships" ref="O10" r:id="rId37"/>
    <hyperlink xmlns:r="http://schemas.openxmlformats.org/officeDocument/2006/relationships" ref="P10" r:id="rId38"/>
    <hyperlink xmlns:r="http://schemas.openxmlformats.org/officeDocument/2006/relationships" ref="Q10" r:id="rId39"/>
    <hyperlink xmlns:r="http://schemas.openxmlformats.org/officeDocument/2006/relationships" ref="R10" r:id="rId40"/>
    <hyperlink xmlns:r="http://schemas.openxmlformats.org/officeDocument/2006/relationships" ref="S10" r:id="rId41"/>
    <hyperlink xmlns:r="http://schemas.openxmlformats.org/officeDocument/2006/relationships" ref="T10" r:id="rId42"/>
    <hyperlink xmlns:r="http://schemas.openxmlformats.org/officeDocument/2006/relationships" ref="O11" r:id="rId43"/>
    <hyperlink xmlns:r="http://schemas.openxmlformats.org/officeDocument/2006/relationships" ref="P11" r:id="rId44"/>
    <hyperlink xmlns:r="http://schemas.openxmlformats.org/officeDocument/2006/relationships" ref="Q11" r:id="rId45"/>
    <hyperlink xmlns:r="http://schemas.openxmlformats.org/officeDocument/2006/relationships" ref="R11" r:id="rId46"/>
    <hyperlink xmlns:r="http://schemas.openxmlformats.org/officeDocument/2006/relationships" ref="S11" r:id="rId47"/>
    <hyperlink xmlns:r="http://schemas.openxmlformats.org/officeDocument/2006/relationships" ref="T11" r:id="rId48"/>
    <hyperlink xmlns:r="http://schemas.openxmlformats.org/officeDocument/2006/relationships" ref="O12" r:id="rId49"/>
    <hyperlink xmlns:r="http://schemas.openxmlformats.org/officeDocument/2006/relationships" ref="P12" r:id="rId50"/>
    <hyperlink xmlns:r="http://schemas.openxmlformats.org/officeDocument/2006/relationships" ref="Q12" r:id="rId51"/>
    <hyperlink xmlns:r="http://schemas.openxmlformats.org/officeDocument/2006/relationships" ref="R12" r:id="rId52"/>
    <hyperlink xmlns:r="http://schemas.openxmlformats.org/officeDocument/2006/relationships" ref="S12" r:id="rId53"/>
    <hyperlink xmlns:r="http://schemas.openxmlformats.org/officeDocument/2006/relationships" ref="T12" r:id="rId54"/>
    <hyperlink xmlns:r="http://schemas.openxmlformats.org/officeDocument/2006/relationships" ref="O13" r:id="rId55"/>
    <hyperlink xmlns:r="http://schemas.openxmlformats.org/officeDocument/2006/relationships" ref="P13" r:id="rId56"/>
    <hyperlink xmlns:r="http://schemas.openxmlformats.org/officeDocument/2006/relationships" ref="Q13" r:id="rId57"/>
    <hyperlink xmlns:r="http://schemas.openxmlformats.org/officeDocument/2006/relationships" ref="R13" r:id="rId58"/>
    <hyperlink xmlns:r="http://schemas.openxmlformats.org/officeDocument/2006/relationships" ref="S13" r:id="rId59"/>
    <hyperlink xmlns:r="http://schemas.openxmlformats.org/officeDocument/2006/relationships" ref="T13" r:id="rId60"/>
    <hyperlink xmlns:r="http://schemas.openxmlformats.org/officeDocument/2006/relationships" ref="O14" r:id="rId61"/>
    <hyperlink xmlns:r="http://schemas.openxmlformats.org/officeDocument/2006/relationships" ref="P14" r:id="rId62"/>
    <hyperlink xmlns:r="http://schemas.openxmlformats.org/officeDocument/2006/relationships" ref="Q14" r:id="rId63"/>
    <hyperlink xmlns:r="http://schemas.openxmlformats.org/officeDocument/2006/relationships" ref="R14" r:id="rId64"/>
    <hyperlink xmlns:r="http://schemas.openxmlformats.org/officeDocument/2006/relationships" ref="S14" r:id="rId65"/>
    <hyperlink xmlns:r="http://schemas.openxmlformats.org/officeDocument/2006/relationships" ref="T14" r:id="rId66"/>
    <hyperlink xmlns:r="http://schemas.openxmlformats.org/officeDocument/2006/relationships" ref="O15" r:id="rId67"/>
    <hyperlink xmlns:r="http://schemas.openxmlformats.org/officeDocument/2006/relationships" ref="P15" r:id="rId68"/>
    <hyperlink xmlns:r="http://schemas.openxmlformats.org/officeDocument/2006/relationships" ref="Q15" r:id="rId69"/>
    <hyperlink xmlns:r="http://schemas.openxmlformats.org/officeDocument/2006/relationships" ref="R15" r:id="rId70"/>
    <hyperlink xmlns:r="http://schemas.openxmlformats.org/officeDocument/2006/relationships" ref="S15" r:id="rId71"/>
    <hyperlink xmlns:r="http://schemas.openxmlformats.org/officeDocument/2006/relationships" ref="T15" r:id="rId72"/>
    <hyperlink xmlns:r="http://schemas.openxmlformats.org/officeDocument/2006/relationships" ref="O16" r:id="rId73"/>
    <hyperlink xmlns:r="http://schemas.openxmlformats.org/officeDocument/2006/relationships" ref="P16" r:id="rId74"/>
    <hyperlink xmlns:r="http://schemas.openxmlformats.org/officeDocument/2006/relationships" ref="Q16" r:id="rId75"/>
    <hyperlink xmlns:r="http://schemas.openxmlformats.org/officeDocument/2006/relationships" ref="R16" r:id="rId76"/>
    <hyperlink xmlns:r="http://schemas.openxmlformats.org/officeDocument/2006/relationships" ref="S16" r:id="rId77"/>
    <hyperlink xmlns:r="http://schemas.openxmlformats.org/officeDocument/2006/relationships" ref="T16" r:id="rId78"/>
    <hyperlink xmlns:r="http://schemas.openxmlformats.org/officeDocument/2006/relationships" ref="O17" r:id="rId79"/>
    <hyperlink xmlns:r="http://schemas.openxmlformats.org/officeDocument/2006/relationships" ref="P17" r:id="rId80"/>
    <hyperlink xmlns:r="http://schemas.openxmlformats.org/officeDocument/2006/relationships" ref="Q17" r:id="rId81"/>
    <hyperlink xmlns:r="http://schemas.openxmlformats.org/officeDocument/2006/relationships" ref="R17" r:id="rId82"/>
    <hyperlink xmlns:r="http://schemas.openxmlformats.org/officeDocument/2006/relationships" ref="S17" r:id="rId83"/>
    <hyperlink xmlns:r="http://schemas.openxmlformats.org/officeDocument/2006/relationships" ref="T17" r:id="rId84"/>
    <hyperlink xmlns:r="http://schemas.openxmlformats.org/officeDocument/2006/relationships" ref="O18" r:id="rId85"/>
    <hyperlink xmlns:r="http://schemas.openxmlformats.org/officeDocument/2006/relationships" ref="P18" r:id="rId86"/>
    <hyperlink xmlns:r="http://schemas.openxmlformats.org/officeDocument/2006/relationships" ref="Q18" r:id="rId87"/>
    <hyperlink xmlns:r="http://schemas.openxmlformats.org/officeDocument/2006/relationships" ref="R18" r:id="rId88"/>
    <hyperlink xmlns:r="http://schemas.openxmlformats.org/officeDocument/2006/relationships" ref="S18" r:id="rId89"/>
    <hyperlink xmlns:r="http://schemas.openxmlformats.org/officeDocument/2006/relationships" ref="T18" r:id="rId90"/>
    <hyperlink xmlns:r="http://schemas.openxmlformats.org/officeDocument/2006/relationships" ref="O19" r:id="rId91"/>
    <hyperlink xmlns:r="http://schemas.openxmlformats.org/officeDocument/2006/relationships" ref="P19" r:id="rId92"/>
    <hyperlink xmlns:r="http://schemas.openxmlformats.org/officeDocument/2006/relationships" ref="Q19" r:id="rId93"/>
    <hyperlink xmlns:r="http://schemas.openxmlformats.org/officeDocument/2006/relationships" ref="R19" r:id="rId94"/>
    <hyperlink xmlns:r="http://schemas.openxmlformats.org/officeDocument/2006/relationships" ref="S19" r:id="rId95"/>
    <hyperlink xmlns:r="http://schemas.openxmlformats.org/officeDocument/2006/relationships" ref="T19" r:id="rId96"/>
    <hyperlink xmlns:r="http://schemas.openxmlformats.org/officeDocument/2006/relationships" ref="O20" r:id="rId97"/>
    <hyperlink xmlns:r="http://schemas.openxmlformats.org/officeDocument/2006/relationships" ref="P20" r:id="rId98"/>
    <hyperlink xmlns:r="http://schemas.openxmlformats.org/officeDocument/2006/relationships" ref="Q20" r:id="rId99"/>
    <hyperlink xmlns:r="http://schemas.openxmlformats.org/officeDocument/2006/relationships" ref="R20" r:id="rId100"/>
    <hyperlink xmlns:r="http://schemas.openxmlformats.org/officeDocument/2006/relationships" ref="S20" r:id="rId101"/>
    <hyperlink xmlns:r="http://schemas.openxmlformats.org/officeDocument/2006/relationships" ref="T20" r:id="rId102"/>
    <hyperlink xmlns:r="http://schemas.openxmlformats.org/officeDocument/2006/relationships" ref="O21" r:id="rId103"/>
    <hyperlink xmlns:r="http://schemas.openxmlformats.org/officeDocument/2006/relationships" ref="P21" r:id="rId104"/>
    <hyperlink xmlns:r="http://schemas.openxmlformats.org/officeDocument/2006/relationships" ref="Q21" r:id="rId105"/>
    <hyperlink xmlns:r="http://schemas.openxmlformats.org/officeDocument/2006/relationships" ref="R21" r:id="rId106"/>
    <hyperlink xmlns:r="http://schemas.openxmlformats.org/officeDocument/2006/relationships" ref="S21" r:id="rId107"/>
    <hyperlink xmlns:r="http://schemas.openxmlformats.org/officeDocument/2006/relationships" ref="T21" r:id="rId108"/>
    <hyperlink xmlns:r="http://schemas.openxmlformats.org/officeDocument/2006/relationships" ref="O22" r:id="rId109"/>
    <hyperlink xmlns:r="http://schemas.openxmlformats.org/officeDocument/2006/relationships" ref="P22" r:id="rId110"/>
    <hyperlink xmlns:r="http://schemas.openxmlformats.org/officeDocument/2006/relationships" ref="Q22" r:id="rId111"/>
    <hyperlink xmlns:r="http://schemas.openxmlformats.org/officeDocument/2006/relationships" ref="R22" r:id="rId112"/>
    <hyperlink xmlns:r="http://schemas.openxmlformats.org/officeDocument/2006/relationships" ref="S22" r:id="rId113"/>
    <hyperlink xmlns:r="http://schemas.openxmlformats.org/officeDocument/2006/relationships" ref="T22" r:id="rId114"/>
    <hyperlink xmlns:r="http://schemas.openxmlformats.org/officeDocument/2006/relationships" ref="O23" r:id="rId115"/>
    <hyperlink xmlns:r="http://schemas.openxmlformats.org/officeDocument/2006/relationships" ref="P23" r:id="rId116"/>
    <hyperlink xmlns:r="http://schemas.openxmlformats.org/officeDocument/2006/relationships" ref="Q23" r:id="rId117"/>
    <hyperlink xmlns:r="http://schemas.openxmlformats.org/officeDocument/2006/relationships" ref="R23" r:id="rId118"/>
    <hyperlink xmlns:r="http://schemas.openxmlformats.org/officeDocument/2006/relationships" ref="S23" r:id="rId119"/>
    <hyperlink xmlns:r="http://schemas.openxmlformats.org/officeDocument/2006/relationships" ref="T23" r:id="rId120"/>
    <hyperlink xmlns:r="http://schemas.openxmlformats.org/officeDocument/2006/relationships" ref="O24" r:id="rId121"/>
    <hyperlink xmlns:r="http://schemas.openxmlformats.org/officeDocument/2006/relationships" ref="P24" r:id="rId122"/>
    <hyperlink xmlns:r="http://schemas.openxmlformats.org/officeDocument/2006/relationships" ref="Q24" r:id="rId123"/>
    <hyperlink xmlns:r="http://schemas.openxmlformats.org/officeDocument/2006/relationships" ref="R24" r:id="rId124"/>
    <hyperlink xmlns:r="http://schemas.openxmlformats.org/officeDocument/2006/relationships" ref="S24" r:id="rId125"/>
    <hyperlink xmlns:r="http://schemas.openxmlformats.org/officeDocument/2006/relationships" ref="T24" r:id="rId126"/>
    <hyperlink xmlns:r="http://schemas.openxmlformats.org/officeDocument/2006/relationships" ref="O25" r:id="rId127"/>
    <hyperlink xmlns:r="http://schemas.openxmlformats.org/officeDocument/2006/relationships" ref="P25" r:id="rId128"/>
    <hyperlink xmlns:r="http://schemas.openxmlformats.org/officeDocument/2006/relationships" ref="Q25" r:id="rId129"/>
    <hyperlink xmlns:r="http://schemas.openxmlformats.org/officeDocument/2006/relationships" ref="R25" r:id="rId130"/>
    <hyperlink xmlns:r="http://schemas.openxmlformats.org/officeDocument/2006/relationships" ref="S25" r:id="rId131"/>
    <hyperlink xmlns:r="http://schemas.openxmlformats.org/officeDocument/2006/relationships" ref="T25" r:id="rId132"/>
    <hyperlink xmlns:r="http://schemas.openxmlformats.org/officeDocument/2006/relationships" ref="O26" r:id="rId133"/>
    <hyperlink xmlns:r="http://schemas.openxmlformats.org/officeDocument/2006/relationships" ref="P26" r:id="rId134"/>
    <hyperlink xmlns:r="http://schemas.openxmlformats.org/officeDocument/2006/relationships" ref="Q26" r:id="rId135"/>
    <hyperlink xmlns:r="http://schemas.openxmlformats.org/officeDocument/2006/relationships" ref="R26" r:id="rId136"/>
    <hyperlink xmlns:r="http://schemas.openxmlformats.org/officeDocument/2006/relationships" ref="S26" r:id="rId137"/>
    <hyperlink xmlns:r="http://schemas.openxmlformats.org/officeDocument/2006/relationships" ref="T26" r:id="rId138"/>
    <hyperlink xmlns:r="http://schemas.openxmlformats.org/officeDocument/2006/relationships" ref="O27" r:id="rId139"/>
    <hyperlink xmlns:r="http://schemas.openxmlformats.org/officeDocument/2006/relationships" ref="P27" r:id="rId140"/>
    <hyperlink xmlns:r="http://schemas.openxmlformats.org/officeDocument/2006/relationships" ref="Q27" r:id="rId141"/>
    <hyperlink xmlns:r="http://schemas.openxmlformats.org/officeDocument/2006/relationships" ref="R27" r:id="rId142"/>
    <hyperlink xmlns:r="http://schemas.openxmlformats.org/officeDocument/2006/relationships" ref="S27" r:id="rId143"/>
    <hyperlink xmlns:r="http://schemas.openxmlformats.org/officeDocument/2006/relationships" ref="T27" r:id="rId144"/>
    <hyperlink xmlns:r="http://schemas.openxmlformats.org/officeDocument/2006/relationships" ref="O28" r:id="rId145"/>
    <hyperlink xmlns:r="http://schemas.openxmlformats.org/officeDocument/2006/relationships" ref="P28" r:id="rId146"/>
    <hyperlink xmlns:r="http://schemas.openxmlformats.org/officeDocument/2006/relationships" ref="Q28" r:id="rId147"/>
    <hyperlink xmlns:r="http://schemas.openxmlformats.org/officeDocument/2006/relationships" ref="R28" r:id="rId148"/>
    <hyperlink xmlns:r="http://schemas.openxmlformats.org/officeDocument/2006/relationships" ref="S28" r:id="rId149"/>
    <hyperlink xmlns:r="http://schemas.openxmlformats.org/officeDocument/2006/relationships" ref="T28" r:id="rId150"/>
    <hyperlink xmlns:r="http://schemas.openxmlformats.org/officeDocument/2006/relationships" ref="O29" r:id="rId151"/>
    <hyperlink xmlns:r="http://schemas.openxmlformats.org/officeDocument/2006/relationships" ref="P29" r:id="rId152"/>
    <hyperlink xmlns:r="http://schemas.openxmlformats.org/officeDocument/2006/relationships" ref="Q29" r:id="rId153"/>
    <hyperlink xmlns:r="http://schemas.openxmlformats.org/officeDocument/2006/relationships" ref="R29" r:id="rId154"/>
    <hyperlink xmlns:r="http://schemas.openxmlformats.org/officeDocument/2006/relationships" ref="S29" r:id="rId155"/>
    <hyperlink xmlns:r="http://schemas.openxmlformats.org/officeDocument/2006/relationships" ref="T29" r:id="rId156"/>
    <hyperlink xmlns:r="http://schemas.openxmlformats.org/officeDocument/2006/relationships" ref="O30" r:id="rId157"/>
    <hyperlink xmlns:r="http://schemas.openxmlformats.org/officeDocument/2006/relationships" ref="P30" r:id="rId158"/>
    <hyperlink xmlns:r="http://schemas.openxmlformats.org/officeDocument/2006/relationships" ref="Q30" r:id="rId159"/>
    <hyperlink xmlns:r="http://schemas.openxmlformats.org/officeDocument/2006/relationships" ref="R30" r:id="rId160"/>
    <hyperlink xmlns:r="http://schemas.openxmlformats.org/officeDocument/2006/relationships" ref="S30" r:id="rId161"/>
    <hyperlink xmlns:r="http://schemas.openxmlformats.org/officeDocument/2006/relationships" ref="T30" r:id="rId162"/>
    <hyperlink xmlns:r="http://schemas.openxmlformats.org/officeDocument/2006/relationships" ref="O31" r:id="rId163"/>
    <hyperlink xmlns:r="http://schemas.openxmlformats.org/officeDocument/2006/relationships" ref="P31" r:id="rId164"/>
    <hyperlink xmlns:r="http://schemas.openxmlformats.org/officeDocument/2006/relationships" ref="Q31" r:id="rId165"/>
    <hyperlink xmlns:r="http://schemas.openxmlformats.org/officeDocument/2006/relationships" ref="R31" r:id="rId166"/>
    <hyperlink xmlns:r="http://schemas.openxmlformats.org/officeDocument/2006/relationships" ref="S31" r:id="rId167"/>
    <hyperlink xmlns:r="http://schemas.openxmlformats.org/officeDocument/2006/relationships" ref="T31" r:id="rId168"/>
    <hyperlink xmlns:r="http://schemas.openxmlformats.org/officeDocument/2006/relationships" ref="O32" r:id="rId169"/>
    <hyperlink xmlns:r="http://schemas.openxmlformats.org/officeDocument/2006/relationships" ref="P32" r:id="rId170"/>
    <hyperlink xmlns:r="http://schemas.openxmlformats.org/officeDocument/2006/relationships" ref="Q32" r:id="rId171"/>
    <hyperlink xmlns:r="http://schemas.openxmlformats.org/officeDocument/2006/relationships" ref="R32" r:id="rId172"/>
    <hyperlink xmlns:r="http://schemas.openxmlformats.org/officeDocument/2006/relationships" ref="S32" r:id="rId173"/>
    <hyperlink xmlns:r="http://schemas.openxmlformats.org/officeDocument/2006/relationships" ref="T32" r:id="rId174"/>
    <hyperlink xmlns:r="http://schemas.openxmlformats.org/officeDocument/2006/relationships" ref="O33" r:id="rId175"/>
    <hyperlink xmlns:r="http://schemas.openxmlformats.org/officeDocument/2006/relationships" ref="P33" r:id="rId176"/>
    <hyperlink xmlns:r="http://schemas.openxmlformats.org/officeDocument/2006/relationships" ref="Q33" r:id="rId177"/>
    <hyperlink xmlns:r="http://schemas.openxmlformats.org/officeDocument/2006/relationships" ref="R33" r:id="rId178"/>
    <hyperlink xmlns:r="http://schemas.openxmlformats.org/officeDocument/2006/relationships" ref="S33" r:id="rId179"/>
    <hyperlink xmlns:r="http://schemas.openxmlformats.org/officeDocument/2006/relationships" ref="T33" r:id="rId180"/>
    <hyperlink xmlns:r="http://schemas.openxmlformats.org/officeDocument/2006/relationships" ref="O34" r:id="rId181"/>
    <hyperlink xmlns:r="http://schemas.openxmlformats.org/officeDocument/2006/relationships" ref="P34" r:id="rId182"/>
    <hyperlink xmlns:r="http://schemas.openxmlformats.org/officeDocument/2006/relationships" ref="Q34" r:id="rId183"/>
    <hyperlink xmlns:r="http://schemas.openxmlformats.org/officeDocument/2006/relationships" ref="R34" r:id="rId184"/>
    <hyperlink xmlns:r="http://schemas.openxmlformats.org/officeDocument/2006/relationships" ref="S34" r:id="rId185"/>
    <hyperlink xmlns:r="http://schemas.openxmlformats.org/officeDocument/2006/relationships" ref="T34" r:id="rId186"/>
    <hyperlink xmlns:r="http://schemas.openxmlformats.org/officeDocument/2006/relationships" ref="O35" r:id="rId187"/>
    <hyperlink xmlns:r="http://schemas.openxmlformats.org/officeDocument/2006/relationships" ref="P35" r:id="rId188"/>
    <hyperlink xmlns:r="http://schemas.openxmlformats.org/officeDocument/2006/relationships" ref="Q35" r:id="rId189"/>
    <hyperlink xmlns:r="http://schemas.openxmlformats.org/officeDocument/2006/relationships" ref="R35" r:id="rId190"/>
    <hyperlink xmlns:r="http://schemas.openxmlformats.org/officeDocument/2006/relationships" ref="S35" r:id="rId191"/>
    <hyperlink xmlns:r="http://schemas.openxmlformats.org/officeDocument/2006/relationships" ref="T35" r:id="rId192"/>
    <hyperlink xmlns:r="http://schemas.openxmlformats.org/officeDocument/2006/relationships" ref="O36" r:id="rId193"/>
    <hyperlink xmlns:r="http://schemas.openxmlformats.org/officeDocument/2006/relationships" ref="P36" r:id="rId194"/>
    <hyperlink xmlns:r="http://schemas.openxmlformats.org/officeDocument/2006/relationships" ref="Q36" r:id="rId195"/>
    <hyperlink xmlns:r="http://schemas.openxmlformats.org/officeDocument/2006/relationships" ref="R36" r:id="rId196"/>
    <hyperlink xmlns:r="http://schemas.openxmlformats.org/officeDocument/2006/relationships" ref="S36" r:id="rId197"/>
    <hyperlink xmlns:r="http://schemas.openxmlformats.org/officeDocument/2006/relationships" ref="T36" r:id="rId198"/>
    <hyperlink xmlns:r="http://schemas.openxmlformats.org/officeDocument/2006/relationships" ref="O37" r:id="rId199"/>
    <hyperlink xmlns:r="http://schemas.openxmlformats.org/officeDocument/2006/relationships" ref="P37" r:id="rId200"/>
    <hyperlink xmlns:r="http://schemas.openxmlformats.org/officeDocument/2006/relationships" ref="Q37" r:id="rId201"/>
    <hyperlink xmlns:r="http://schemas.openxmlformats.org/officeDocument/2006/relationships" ref="R37" r:id="rId202"/>
    <hyperlink xmlns:r="http://schemas.openxmlformats.org/officeDocument/2006/relationships" ref="S37" r:id="rId203"/>
    <hyperlink xmlns:r="http://schemas.openxmlformats.org/officeDocument/2006/relationships" ref="T37" r:id="rId204"/>
    <hyperlink xmlns:r="http://schemas.openxmlformats.org/officeDocument/2006/relationships" ref="O38" r:id="rId205"/>
    <hyperlink xmlns:r="http://schemas.openxmlformats.org/officeDocument/2006/relationships" ref="P38" r:id="rId206"/>
    <hyperlink xmlns:r="http://schemas.openxmlformats.org/officeDocument/2006/relationships" ref="Q38" r:id="rId207"/>
    <hyperlink xmlns:r="http://schemas.openxmlformats.org/officeDocument/2006/relationships" ref="R38" r:id="rId208"/>
    <hyperlink xmlns:r="http://schemas.openxmlformats.org/officeDocument/2006/relationships" ref="S38" r:id="rId209"/>
    <hyperlink xmlns:r="http://schemas.openxmlformats.org/officeDocument/2006/relationships" ref="T38" r:id="rId210"/>
    <hyperlink xmlns:r="http://schemas.openxmlformats.org/officeDocument/2006/relationships" ref="O39" r:id="rId211"/>
    <hyperlink xmlns:r="http://schemas.openxmlformats.org/officeDocument/2006/relationships" ref="P39" r:id="rId212"/>
    <hyperlink xmlns:r="http://schemas.openxmlformats.org/officeDocument/2006/relationships" ref="Q39" r:id="rId213"/>
    <hyperlink xmlns:r="http://schemas.openxmlformats.org/officeDocument/2006/relationships" ref="R39" r:id="rId214"/>
    <hyperlink xmlns:r="http://schemas.openxmlformats.org/officeDocument/2006/relationships" ref="S39" r:id="rId215"/>
    <hyperlink xmlns:r="http://schemas.openxmlformats.org/officeDocument/2006/relationships" ref="T39" r:id="rId2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26" customWidth="1" min="4" max="4"/>
    <col width="34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  <col width="12" customWidth="1" min="11" max="11"/>
    <col width="16" customWidth="1" min="12" max="12"/>
  </cols>
  <sheetData>
    <row r="1">
      <c r="A1" s="1" t="inlineStr">
        <is>
          <t>Dus într-un oraș, întors din altul (open-jaw) – prețurile se preiau automat din foaia Dus-intors</t>
        </is>
      </c>
    </row>
    <row r="2">
      <c r="A2" s="2" t="inlineStr">
        <is>
          <t>Adaugă costul trenului/autobuzului între orașe în coloana galbenă. Combinația merită doar dacă TOTAL &lt; totalul dus-întors simplu.</t>
        </is>
      </c>
    </row>
    <row r="3" ht="35" customHeight="1">
      <c r="A3" s="3" t="inlineStr">
        <is>
          <t>Dus în</t>
        </is>
      </c>
      <c r="B3" s="3" t="inlineStr">
        <is>
          <t>Oraș dus</t>
        </is>
      </c>
      <c r="C3" s="3" t="inlineStr">
        <is>
          <t>Întors din</t>
        </is>
      </c>
      <c r="D3" s="3" t="inlineStr">
        <is>
          <t>Oraș întors</t>
        </is>
      </c>
      <c r="E3" s="3" t="inlineStr">
        <is>
          <t>Legătură terestră</t>
        </is>
      </c>
      <c r="F3" s="3" t="inlineStr">
        <is>
          <t>Dus 26.11</t>
        </is>
      </c>
      <c r="G3" s="3" t="inlineStr">
        <is>
          <t>Dus 27.11</t>
        </is>
      </c>
      <c r="H3" s="3" t="inlineStr">
        <is>
          <t>Întors 30.11</t>
        </is>
      </c>
      <c r="I3" s="3" t="inlineStr">
        <is>
          <t>Întors 01.12</t>
        </is>
      </c>
      <c r="J3" s="3" t="inlineStr">
        <is>
          <t>Cost tren/bus (RON)</t>
        </is>
      </c>
      <c r="K3" s="3" t="inlineStr">
        <is>
          <t>TOTAL minim</t>
        </is>
      </c>
      <c r="L3" s="3" t="inlineStr">
        <is>
          <t>Zile</t>
        </is>
      </c>
    </row>
    <row r="4">
      <c r="A4" s="4" t="inlineStr">
        <is>
          <t>FMM</t>
        </is>
      </c>
      <c r="B4" s="4" t="inlineStr">
        <is>
          <t>Memmingen (München/Allgäu)</t>
        </is>
      </c>
      <c r="C4" s="4" t="inlineStr">
        <is>
          <t>MUC</t>
        </is>
      </c>
      <c r="D4" s="4" t="inlineStr">
        <is>
          <t>München</t>
        </is>
      </c>
      <c r="E4" s="4" t="inlineStr">
        <is>
          <t>tren ~1h30 (München e și ținta)</t>
        </is>
      </c>
      <c r="F4" s="6">
        <f>IFERROR(IF(INDEX('Dus-intors'!F:F,MATCH("FMM",'Dus-intors'!A:A,0))="","",INDEX('Dus-intors'!F:F,MATCH("FMM",'Dus-intors'!A:A,0))),"")</f>
        <v/>
      </c>
      <c r="G4" s="6">
        <f>IFERROR(IF(INDEX('Dus-intors'!G:G,MATCH("FMM",'Dus-intors'!A:A,0))="","",INDEX('Dus-intors'!G:G,MATCH("FMM",'Dus-intors'!A:A,0))),"")</f>
        <v/>
      </c>
      <c r="H4" s="6">
        <f>IFERROR(IF(INDEX('Dus-intors'!H:H,MATCH("MUC",'Dus-intors'!A:A,0))="","",INDEX('Dus-intors'!H:H,MATCH("MUC",'Dus-intors'!A:A,0))),"")</f>
        <v/>
      </c>
      <c r="I4" s="6">
        <f>IFERROR(IF(INDEX('Dus-intors'!I:I,MATCH("MUC",'Dus-intors'!A:A,0))="","",INDEX('Dus-intors'!I:I,MATCH("MUC",'Dus-intors'!A:A,0))),"")</f>
        <v/>
      </c>
      <c r="J4" s="5" t="n"/>
      <c r="K4" s="6">
        <f>IF(OR(COUNT(F4:G4)=0,COUNT(H4:I4)=0),"",MIN(F4:G4)+MIN(H4:I4)+N(J4))</f>
        <v/>
      </c>
      <c r="L4" s="8">
        <f>IF(K4="","",IF(F4=MIN(F4:G4),"26.11","27.11")&amp;" → "&amp;IF(H4=MIN(H4:I4),"30.11","01.12"))</f>
        <v/>
      </c>
    </row>
    <row r="5">
      <c r="A5" s="4" t="inlineStr">
        <is>
          <t>MUC</t>
        </is>
      </c>
      <c r="B5" s="4" t="inlineStr">
        <is>
          <t>München</t>
        </is>
      </c>
      <c r="C5" s="4" t="inlineStr">
        <is>
          <t>FMM</t>
        </is>
      </c>
      <c r="D5" s="4" t="inlineStr">
        <is>
          <t>Memmingen (München/Allgäu)</t>
        </is>
      </c>
      <c r="E5" s="4" t="inlineStr">
        <is>
          <t>tren ~1h30</t>
        </is>
      </c>
      <c r="F5" s="6">
        <f>IFERROR(IF(INDEX('Dus-intors'!F:F,MATCH("MUC",'Dus-intors'!A:A,0))="","",INDEX('Dus-intors'!F:F,MATCH("MUC",'Dus-intors'!A:A,0))),"")</f>
        <v/>
      </c>
      <c r="G5" s="6">
        <f>IFERROR(IF(INDEX('Dus-intors'!G:G,MATCH("MUC",'Dus-intors'!A:A,0))="","",INDEX('Dus-intors'!G:G,MATCH("MUC",'Dus-intors'!A:A,0))),"")</f>
        <v/>
      </c>
      <c r="H5" s="6">
        <f>IFERROR(IF(INDEX('Dus-intors'!H:H,MATCH("FMM",'Dus-intors'!A:A,0))="","",INDEX('Dus-intors'!H:H,MATCH("FMM",'Dus-intors'!A:A,0))),"")</f>
        <v/>
      </c>
      <c r="I5" s="6">
        <f>IFERROR(IF(INDEX('Dus-intors'!I:I,MATCH("FMM",'Dus-intors'!A:A,0))="","",INDEX('Dus-intors'!I:I,MATCH("FMM",'Dus-intors'!A:A,0))),"")</f>
        <v/>
      </c>
      <c r="J5" s="5" t="n"/>
      <c r="K5" s="6">
        <f>IF(OR(COUNT(F5:G5)=0,COUNT(H5:I5)=0),"",MIN(F5:G5)+MIN(H5:I5)+N(J5))</f>
        <v/>
      </c>
      <c r="L5" s="8">
        <f>IF(K5="","",IF(F5=MIN(F5:G5),"26.11","27.11")&amp;" → "&amp;IF(H5=MIN(H5:I5),"30.11","01.12"))</f>
        <v/>
      </c>
    </row>
    <row r="6">
      <c r="A6" s="4" t="inlineStr">
        <is>
          <t>FMM</t>
        </is>
      </c>
      <c r="B6" s="4" t="inlineStr">
        <is>
          <t>Memmingen (München/Allgäu)</t>
        </is>
      </c>
      <c r="C6" s="4" t="inlineStr">
        <is>
          <t>NUE</t>
        </is>
      </c>
      <c r="D6" s="4" t="inlineStr">
        <is>
          <t>Nürnberg</t>
        </is>
      </c>
      <c r="E6" s="4" t="inlineStr">
        <is>
          <t>tren ~3h prin München/Augsburg</t>
        </is>
      </c>
      <c r="F6" s="6">
        <f>IFERROR(IF(INDEX('Dus-intors'!F:F,MATCH("FMM",'Dus-intors'!A:A,0))="","",INDEX('Dus-intors'!F:F,MATCH("FMM",'Dus-intors'!A:A,0))),"")</f>
        <v/>
      </c>
      <c r="G6" s="6">
        <f>IFERROR(IF(INDEX('Dus-intors'!G:G,MATCH("FMM",'Dus-intors'!A:A,0))="","",INDEX('Dus-intors'!G:G,MATCH("FMM",'Dus-intors'!A:A,0))),"")</f>
        <v/>
      </c>
      <c r="H6" s="6">
        <f>IFERROR(IF(INDEX('Dus-intors'!H:H,MATCH("NUE",'Dus-intors'!A:A,0))="","",INDEX('Dus-intors'!H:H,MATCH("NUE",'Dus-intors'!A:A,0))),"")</f>
        <v/>
      </c>
      <c r="I6" s="6">
        <f>IFERROR(IF(INDEX('Dus-intors'!I:I,MATCH("NUE",'Dus-intors'!A:A,0))="","",INDEX('Dus-intors'!I:I,MATCH("NUE",'Dus-intors'!A:A,0))),"")</f>
        <v/>
      </c>
      <c r="J6" s="5" t="n"/>
      <c r="K6" s="6">
        <f>IF(OR(COUNT(F6:G6)=0,COUNT(H6:I6)=0),"",MIN(F6:G6)+MIN(H6:I6)+N(J6))</f>
        <v/>
      </c>
      <c r="L6" s="8">
        <f>IF(K6="","",IF(F6=MIN(F6:G6),"26.11","27.11")&amp;" → "&amp;IF(H6=MIN(H6:I6),"30.11","01.12"))</f>
        <v/>
      </c>
    </row>
    <row r="7">
      <c r="A7" s="4" t="inlineStr">
        <is>
          <t>NUE</t>
        </is>
      </c>
      <c r="B7" s="4" t="inlineStr">
        <is>
          <t>Nürnberg</t>
        </is>
      </c>
      <c r="C7" s="4" t="inlineStr">
        <is>
          <t>FMM</t>
        </is>
      </c>
      <c r="D7" s="4" t="inlineStr">
        <is>
          <t>Memmingen (München/Allgäu)</t>
        </is>
      </c>
      <c r="E7" s="4" t="inlineStr">
        <is>
          <t>tren ~3h</t>
        </is>
      </c>
      <c r="F7" s="6">
        <f>IFERROR(IF(INDEX('Dus-intors'!F:F,MATCH("NUE",'Dus-intors'!A:A,0))="","",INDEX('Dus-intors'!F:F,MATCH("NUE",'Dus-intors'!A:A,0))),"")</f>
        <v/>
      </c>
      <c r="G7" s="6">
        <f>IFERROR(IF(INDEX('Dus-intors'!G:G,MATCH("NUE",'Dus-intors'!A:A,0))="","",INDEX('Dus-intors'!G:G,MATCH("NUE",'Dus-intors'!A:A,0))),"")</f>
        <v/>
      </c>
      <c r="H7" s="6">
        <f>IFERROR(IF(INDEX('Dus-intors'!H:H,MATCH("FMM",'Dus-intors'!A:A,0))="","",INDEX('Dus-intors'!H:H,MATCH("FMM",'Dus-intors'!A:A,0))),"")</f>
        <v/>
      </c>
      <c r="I7" s="6">
        <f>IFERROR(IF(INDEX('Dus-intors'!I:I,MATCH("FMM",'Dus-intors'!A:A,0))="","",INDEX('Dus-intors'!I:I,MATCH("FMM",'Dus-intors'!A:A,0))),"")</f>
        <v/>
      </c>
      <c r="J7" s="5" t="n"/>
      <c r="K7" s="6">
        <f>IF(OR(COUNT(F7:G7)=0,COUNT(H7:I7)=0),"",MIN(F7:G7)+MIN(H7:I7)+N(J7))</f>
        <v/>
      </c>
      <c r="L7" s="8">
        <f>IF(K7="","",IF(F7=MIN(F7:G7),"26.11","27.11")&amp;" → "&amp;IF(H7=MIN(H7:I7),"30.11","01.12"))</f>
        <v/>
      </c>
    </row>
    <row r="8">
      <c r="A8" s="4" t="inlineStr">
        <is>
          <t>FMM</t>
        </is>
      </c>
      <c r="B8" s="4" t="inlineStr">
        <is>
          <t>Memmingen (München/Allgäu)</t>
        </is>
      </c>
      <c r="C8" s="4" t="inlineStr">
        <is>
          <t>SZG</t>
        </is>
      </c>
      <c r="D8" s="4" t="inlineStr">
        <is>
          <t>Salzburg</t>
        </is>
      </c>
      <c r="E8" s="4" t="inlineStr">
        <is>
          <t>tren ~3h; München–Salzburg 1h30</t>
        </is>
      </c>
      <c r="F8" s="6">
        <f>IFERROR(IF(INDEX('Dus-intors'!F:F,MATCH("FMM",'Dus-intors'!A:A,0))="","",INDEX('Dus-intors'!F:F,MATCH("FMM",'Dus-intors'!A:A,0))),"")</f>
        <v/>
      </c>
      <c r="G8" s="6">
        <f>IFERROR(IF(INDEX('Dus-intors'!G:G,MATCH("FMM",'Dus-intors'!A:A,0))="","",INDEX('Dus-intors'!G:G,MATCH("FMM",'Dus-intors'!A:A,0))),"")</f>
        <v/>
      </c>
      <c r="H8" s="6">
        <f>IFERROR(IF(INDEX('Dus-intors'!H:H,MATCH("SZG",'Dus-intors'!A:A,0))="","",INDEX('Dus-intors'!H:H,MATCH("SZG",'Dus-intors'!A:A,0))),"")</f>
        <v/>
      </c>
      <c r="I8" s="6">
        <f>IFERROR(IF(INDEX('Dus-intors'!I:I,MATCH("SZG",'Dus-intors'!A:A,0))="","",INDEX('Dus-intors'!I:I,MATCH("SZG",'Dus-intors'!A:A,0))),"")</f>
        <v/>
      </c>
      <c r="J8" s="5" t="n"/>
      <c r="K8" s="6">
        <f>IF(OR(COUNT(F8:G8)=0,COUNT(H8:I8)=0),"",MIN(F8:G8)+MIN(H8:I8)+N(J8))</f>
        <v/>
      </c>
      <c r="L8" s="8">
        <f>IF(K8="","",IF(F8=MIN(F8:G8),"26.11","27.11")&amp;" → "&amp;IF(H8=MIN(H8:I8),"30.11","01.12"))</f>
        <v/>
      </c>
    </row>
    <row r="9">
      <c r="A9" s="4" t="inlineStr">
        <is>
          <t>FMM</t>
        </is>
      </c>
      <c r="B9" s="4" t="inlineStr">
        <is>
          <t>Memmingen (München/Allgäu)</t>
        </is>
      </c>
      <c r="C9" s="4" t="inlineStr">
        <is>
          <t>BSL</t>
        </is>
      </c>
      <c r="D9" s="4" t="inlineStr">
        <is>
          <t>Basel/Mulhouse</t>
        </is>
      </c>
      <c r="E9" s="4" t="inlineStr">
        <is>
          <t>tren ~4h via Lindau/Zürich</t>
        </is>
      </c>
      <c r="F9" s="6">
        <f>IFERROR(IF(INDEX('Dus-intors'!F:F,MATCH("FMM",'Dus-intors'!A:A,0))="","",INDEX('Dus-intors'!F:F,MATCH("FMM",'Dus-intors'!A:A,0))),"")</f>
        <v/>
      </c>
      <c r="G9" s="6">
        <f>IFERROR(IF(INDEX('Dus-intors'!G:G,MATCH("FMM",'Dus-intors'!A:A,0))="","",INDEX('Dus-intors'!G:G,MATCH("FMM",'Dus-intors'!A:A,0))),"")</f>
        <v/>
      </c>
      <c r="H9" s="6">
        <f>IFERROR(IF(INDEX('Dus-intors'!H:H,MATCH("BSL",'Dus-intors'!A:A,0))="","",INDEX('Dus-intors'!H:H,MATCH("BSL",'Dus-intors'!A:A,0))),"")</f>
        <v/>
      </c>
      <c r="I9" s="6">
        <f>IFERROR(IF(INDEX('Dus-intors'!I:I,MATCH("BSL",'Dus-intors'!A:A,0))="","",INDEX('Dus-intors'!I:I,MATCH("BSL",'Dus-intors'!A:A,0))),"")</f>
        <v/>
      </c>
      <c r="J9" s="5" t="n"/>
      <c r="K9" s="6">
        <f>IF(OR(COUNT(F9:G9)=0,COUNT(H9:I9)=0),"",MIN(F9:G9)+MIN(H9:I9)+N(J9))</f>
        <v/>
      </c>
      <c r="L9" s="8">
        <f>IF(K9="","",IF(F9=MIN(F9:G9),"26.11","27.11")&amp;" → "&amp;IF(H9=MIN(H9:I9),"30.11","01.12"))</f>
        <v/>
      </c>
    </row>
    <row r="10">
      <c r="A10" s="4" t="inlineStr">
        <is>
          <t>FMM</t>
        </is>
      </c>
      <c r="B10" s="4" t="inlineStr">
        <is>
          <t>Memmingen (München/Allgäu)</t>
        </is>
      </c>
      <c r="C10" s="4" t="inlineStr">
        <is>
          <t>FKB</t>
        </is>
      </c>
      <c r="D10" s="4" t="inlineStr">
        <is>
          <t>Karlsruhe/Baden-Baden</t>
        </is>
      </c>
      <c r="E10" s="4" t="inlineStr">
        <is>
          <t>tren ~3h via Ulm/Stuttgart</t>
        </is>
      </c>
      <c r="F10" s="6">
        <f>IFERROR(IF(INDEX('Dus-intors'!F:F,MATCH("FMM",'Dus-intors'!A:A,0))="","",INDEX('Dus-intors'!F:F,MATCH("FMM",'Dus-intors'!A:A,0))),"")</f>
        <v/>
      </c>
      <c r="G10" s="6">
        <f>IFERROR(IF(INDEX('Dus-intors'!G:G,MATCH("FMM",'Dus-intors'!A:A,0))="","",INDEX('Dus-intors'!G:G,MATCH("FMM",'Dus-intors'!A:A,0))),"")</f>
        <v/>
      </c>
      <c r="H10" s="6">
        <f>IFERROR(IF(INDEX('Dus-intors'!H:H,MATCH("FKB",'Dus-intors'!A:A,0))="","",INDEX('Dus-intors'!H:H,MATCH("FKB",'Dus-intors'!A:A,0))),"")</f>
        <v/>
      </c>
      <c r="I10" s="6">
        <f>IFERROR(IF(INDEX('Dus-intors'!I:I,MATCH("FKB",'Dus-intors'!A:A,0))="","",INDEX('Dus-intors'!I:I,MATCH("FKB",'Dus-intors'!A:A,0))),"")</f>
        <v/>
      </c>
      <c r="J10" s="5" t="n"/>
      <c r="K10" s="6">
        <f>IF(OR(COUNT(F10:G10)=0,COUNT(H10:I10)=0),"",MIN(F10:G10)+MIN(H10:I10)+N(J10))</f>
        <v/>
      </c>
      <c r="L10" s="8">
        <f>IF(K10="","",IF(F10=MIN(F10:G10),"26.11","27.11")&amp;" → "&amp;IF(H10=MIN(H10:I10),"30.11","01.12"))</f>
        <v/>
      </c>
    </row>
    <row r="11">
      <c r="A11" s="4" t="inlineStr">
        <is>
          <t>FMM</t>
        </is>
      </c>
      <c r="B11" s="4" t="inlineStr">
        <is>
          <t>Memmingen (München/Allgäu)</t>
        </is>
      </c>
      <c r="C11" s="4" t="inlineStr">
        <is>
          <t>STR</t>
        </is>
      </c>
      <c r="D11" s="4" t="inlineStr">
        <is>
          <t>Stuttgart</t>
        </is>
      </c>
      <c r="E11" s="4" t="inlineStr">
        <is>
          <t>tren ~2h30 via Ulm</t>
        </is>
      </c>
      <c r="F11" s="6">
        <f>IFERROR(IF(INDEX('Dus-intors'!F:F,MATCH("FMM",'Dus-intors'!A:A,0))="","",INDEX('Dus-intors'!F:F,MATCH("FMM",'Dus-intors'!A:A,0))),"")</f>
        <v/>
      </c>
      <c r="G11" s="6">
        <f>IFERROR(IF(INDEX('Dus-intors'!G:G,MATCH("FMM",'Dus-intors'!A:A,0))="","",INDEX('Dus-intors'!G:G,MATCH("FMM",'Dus-intors'!A:A,0))),"")</f>
        <v/>
      </c>
      <c r="H11" s="6">
        <f>IFERROR(IF(INDEX('Dus-intors'!H:H,MATCH("STR",'Dus-intors'!A:A,0))="","",INDEX('Dus-intors'!H:H,MATCH("STR",'Dus-intors'!A:A,0))),"")</f>
        <v/>
      </c>
      <c r="I11" s="6">
        <f>IFERROR(IF(INDEX('Dus-intors'!I:I,MATCH("STR",'Dus-intors'!A:A,0))="","",INDEX('Dus-intors'!I:I,MATCH("STR",'Dus-intors'!A:A,0))),"")</f>
        <v/>
      </c>
      <c r="J11" s="5" t="n"/>
      <c r="K11" s="6">
        <f>IF(OR(COUNT(F11:G11)=0,COUNT(H11:I11)=0),"",MIN(F11:G11)+MIN(H11:I11)+N(J11))</f>
        <v/>
      </c>
      <c r="L11" s="8">
        <f>IF(K11="","",IF(F11=MIN(F11:G11),"26.11","27.11")&amp;" → "&amp;IF(H11=MIN(H11:I11),"30.11","01.12"))</f>
        <v/>
      </c>
    </row>
    <row r="12">
      <c r="A12" s="4" t="inlineStr">
        <is>
          <t>FMM</t>
        </is>
      </c>
      <c r="B12" s="4" t="inlineStr">
        <is>
          <t>Memmingen (München/Allgäu)</t>
        </is>
      </c>
      <c r="C12" s="4" t="inlineStr">
        <is>
          <t>VIE</t>
        </is>
      </c>
      <c r="D12" s="4" t="inlineStr">
        <is>
          <t>Viena</t>
        </is>
      </c>
      <c r="E12" s="4" t="inlineStr">
        <is>
          <t>tren ~5h via München</t>
        </is>
      </c>
      <c r="F12" s="6">
        <f>IFERROR(IF(INDEX('Dus-intors'!F:F,MATCH("FMM",'Dus-intors'!A:A,0))="","",INDEX('Dus-intors'!F:F,MATCH("FMM",'Dus-intors'!A:A,0))),"")</f>
        <v/>
      </c>
      <c r="G12" s="6">
        <f>IFERROR(IF(INDEX('Dus-intors'!G:G,MATCH("FMM",'Dus-intors'!A:A,0))="","",INDEX('Dus-intors'!G:G,MATCH("FMM",'Dus-intors'!A:A,0))),"")</f>
        <v/>
      </c>
      <c r="H12" s="6">
        <f>IFERROR(IF(INDEX('Dus-intors'!H:H,MATCH("VIE",'Dus-intors'!A:A,0))="","",INDEX('Dus-intors'!H:H,MATCH("VIE",'Dus-intors'!A:A,0))),"")</f>
        <v/>
      </c>
      <c r="I12" s="6">
        <f>IFERROR(IF(INDEX('Dus-intors'!I:I,MATCH("VIE",'Dus-intors'!A:A,0))="","",INDEX('Dus-intors'!I:I,MATCH("VIE",'Dus-intors'!A:A,0))),"")</f>
        <v/>
      </c>
      <c r="J12" s="5" t="n"/>
      <c r="K12" s="6">
        <f>IF(OR(COUNT(F12:G12)=0,COUNT(H12:I12)=0),"",MIN(F12:G12)+MIN(H12:I12)+N(J12))</f>
        <v/>
      </c>
      <c r="L12" s="8">
        <f>IF(K12="","",IF(F12=MIN(F12:G12),"26.11","27.11")&amp;" → "&amp;IF(H12=MIN(H12:I12),"30.11","01.12"))</f>
        <v/>
      </c>
    </row>
    <row r="13">
      <c r="A13" s="4" t="inlineStr">
        <is>
          <t>FMM</t>
        </is>
      </c>
      <c r="B13" s="4" t="inlineStr">
        <is>
          <t>Memmingen (München/Allgäu)</t>
        </is>
      </c>
      <c r="C13" s="4" t="inlineStr">
        <is>
          <t>INN</t>
        </is>
      </c>
      <c r="D13" s="4" t="inlineStr">
        <is>
          <t>Innsbruck</t>
        </is>
      </c>
      <c r="E13" s="4" t="inlineStr">
        <is>
          <t>tren ~3h via München</t>
        </is>
      </c>
      <c r="F13" s="6">
        <f>IFERROR(IF(INDEX('Dus-intors'!F:F,MATCH("FMM",'Dus-intors'!A:A,0))="","",INDEX('Dus-intors'!F:F,MATCH("FMM",'Dus-intors'!A:A,0))),"")</f>
        <v/>
      </c>
      <c r="G13" s="6">
        <f>IFERROR(IF(INDEX('Dus-intors'!G:G,MATCH("FMM",'Dus-intors'!A:A,0))="","",INDEX('Dus-intors'!G:G,MATCH("FMM",'Dus-intors'!A:A,0))),"")</f>
        <v/>
      </c>
      <c r="H13" s="6">
        <f>IFERROR(IF(INDEX('Dus-intors'!H:H,MATCH("INN",'Dus-intors'!A:A,0))="","",INDEX('Dus-intors'!H:H,MATCH("INN",'Dus-intors'!A:A,0))),"")</f>
        <v/>
      </c>
      <c r="I13" s="6">
        <f>IFERROR(IF(INDEX('Dus-intors'!I:I,MATCH("INN",'Dus-intors'!A:A,0))="","",INDEX('Dus-intors'!I:I,MATCH("INN",'Dus-intors'!A:A,0))),"")</f>
        <v/>
      </c>
      <c r="J13" s="5" t="n"/>
      <c r="K13" s="6">
        <f>IF(OR(COUNT(F13:G13)=0,COUNT(H13:I13)=0),"",MIN(F13:G13)+MIN(H13:I13)+N(J13))</f>
        <v/>
      </c>
      <c r="L13" s="8">
        <f>IF(K13="","",IF(F13=MIN(F13:G13),"26.11","27.11")&amp;" → "&amp;IF(H13=MIN(H13:I13),"30.11","01.12"))</f>
        <v/>
      </c>
    </row>
    <row r="14">
      <c r="A14" s="4" t="inlineStr">
        <is>
          <t>BSL</t>
        </is>
      </c>
      <c r="B14" s="4" t="inlineStr">
        <is>
          <t>Basel/Mulhouse</t>
        </is>
      </c>
      <c r="C14" s="4" t="inlineStr">
        <is>
          <t>FKB</t>
        </is>
      </c>
      <c r="D14" s="4" t="inlineStr">
        <is>
          <t>Karlsruhe/Baden-Baden</t>
        </is>
      </c>
      <c r="E14" s="4" t="inlineStr">
        <is>
          <t>tren ~1h30 (Colmar/Strasbourg pe drum)</t>
        </is>
      </c>
      <c r="F14" s="6">
        <f>IFERROR(IF(INDEX('Dus-intors'!F:F,MATCH("BSL",'Dus-intors'!A:A,0))="","",INDEX('Dus-intors'!F:F,MATCH("BSL",'Dus-intors'!A:A,0))),"")</f>
        <v/>
      </c>
      <c r="G14" s="6">
        <f>IFERROR(IF(INDEX('Dus-intors'!G:G,MATCH("BSL",'Dus-intors'!A:A,0))="","",INDEX('Dus-intors'!G:G,MATCH("BSL",'Dus-intors'!A:A,0))),"")</f>
        <v/>
      </c>
      <c r="H14" s="6">
        <f>IFERROR(IF(INDEX('Dus-intors'!H:H,MATCH("FKB",'Dus-intors'!A:A,0))="","",INDEX('Dus-intors'!H:H,MATCH("FKB",'Dus-intors'!A:A,0))),"")</f>
        <v/>
      </c>
      <c r="I14" s="6">
        <f>IFERROR(IF(INDEX('Dus-intors'!I:I,MATCH("FKB",'Dus-intors'!A:A,0))="","",INDEX('Dus-intors'!I:I,MATCH("FKB",'Dus-intors'!A:A,0))),"")</f>
        <v/>
      </c>
      <c r="J14" s="5" t="n"/>
      <c r="K14" s="6">
        <f>IF(OR(COUNT(F14:G14)=0,COUNT(H14:I14)=0),"",MIN(F14:G14)+MIN(H14:I14)+N(J14))</f>
        <v/>
      </c>
      <c r="L14" s="8">
        <f>IF(K14="","",IF(F14=MIN(F14:G14),"26.11","27.11")&amp;" → "&amp;IF(H14=MIN(H14:I14),"30.11","01.12"))</f>
        <v/>
      </c>
    </row>
    <row r="15">
      <c r="A15" s="4" t="inlineStr">
        <is>
          <t>FKB</t>
        </is>
      </c>
      <c r="B15" s="4" t="inlineStr">
        <is>
          <t>Karlsruhe/Baden-Baden</t>
        </is>
      </c>
      <c r="C15" s="4" t="inlineStr">
        <is>
          <t>BSL</t>
        </is>
      </c>
      <c r="D15" s="4" t="inlineStr">
        <is>
          <t>Basel/Mulhouse</t>
        </is>
      </c>
      <c r="E15" s="4" t="inlineStr">
        <is>
          <t>tren ~1h30</t>
        </is>
      </c>
      <c r="F15" s="6">
        <f>IFERROR(IF(INDEX('Dus-intors'!F:F,MATCH("FKB",'Dus-intors'!A:A,0))="","",INDEX('Dus-intors'!F:F,MATCH("FKB",'Dus-intors'!A:A,0))),"")</f>
        <v/>
      </c>
      <c r="G15" s="6">
        <f>IFERROR(IF(INDEX('Dus-intors'!G:G,MATCH("FKB",'Dus-intors'!A:A,0))="","",INDEX('Dus-intors'!G:G,MATCH("FKB",'Dus-intors'!A:A,0))),"")</f>
        <v/>
      </c>
      <c r="H15" s="6">
        <f>IFERROR(IF(INDEX('Dus-intors'!H:H,MATCH("BSL",'Dus-intors'!A:A,0))="","",INDEX('Dus-intors'!H:H,MATCH("BSL",'Dus-intors'!A:A,0))),"")</f>
        <v/>
      </c>
      <c r="I15" s="6">
        <f>IFERROR(IF(INDEX('Dus-intors'!I:I,MATCH("BSL",'Dus-intors'!A:A,0))="","",INDEX('Dus-intors'!I:I,MATCH("BSL",'Dus-intors'!A:A,0))),"")</f>
        <v/>
      </c>
      <c r="J15" s="5" t="n"/>
      <c r="K15" s="6">
        <f>IF(OR(COUNT(F15:G15)=0,COUNT(H15:I15)=0),"",MIN(F15:G15)+MIN(H15:I15)+N(J15))</f>
        <v/>
      </c>
      <c r="L15" s="8">
        <f>IF(K15="","",IF(F15=MIN(F15:G15),"26.11","27.11")&amp;" → "&amp;IF(H15=MIN(H15:I15),"30.11","01.12"))</f>
        <v/>
      </c>
    </row>
    <row r="16">
      <c r="A16" s="4" t="inlineStr">
        <is>
          <t>BSL</t>
        </is>
      </c>
      <c r="B16" s="4" t="inlineStr">
        <is>
          <t>Basel/Mulhouse</t>
        </is>
      </c>
      <c r="C16" s="4" t="inlineStr">
        <is>
          <t>SXB</t>
        </is>
      </c>
      <c r="D16" s="4" t="inlineStr">
        <is>
          <t>Strasbourg</t>
        </is>
      </c>
      <c r="E16" s="4" t="inlineStr">
        <is>
          <t>tren ~1h15</t>
        </is>
      </c>
      <c r="F16" s="6">
        <f>IFERROR(IF(INDEX('Dus-intors'!F:F,MATCH("BSL",'Dus-intors'!A:A,0))="","",INDEX('Dus-intors'!F:F,MATCH("BSL",'Dus-intors'!A:A,0))),"")</f>
        <v/>
      </c>
      <c r="G16" s="6">
        <f>IFERROR(IF(INDEX('Dus-intors'!G:G,MATCH("BSL",'Dus-intors'!A:A,0))="","",INDEX('Dus-intors'!G:G,MATCH("BSL",'Dus-intors'!A:A,0))),"")</f>
        <v/>
      </c>
      <c r="H16" s="6">
        <f>IFERROR(IF(INDEX('Dus-intors'!H:H,MATCH("SXB",'Dus-intors'!A:A,0))="","",INDEX('Dus-intors'!H:H,MATCH("SXB",'Dus-intors'!A:A,0))),"")</f>
        <v/>
      </c>
      <c r="I16" s="6">
        <f>IFERROR(IF(INDEX('Dus-intors'!I:I,MATCH("SXB",'Dus-intors'!A:A,0))="","",INDEX('Dus-intors'!I:I,MATCH("SXB",'Dus-intors'!A:A,0))),"")</f>
        <v/>
      </c>
      <c r="J16" s="5" t="n"/>
      <c r="K16" s="6">
        <f>IF(OR(COUNT(F16:G16)=0,COUNT(H16:I16)=0),"",MIN(F16:G16)+MIN(H16:I16)+N(J16))</f>
        <v/>
      </c>
      <c r="L16" s="8">
        <f>IF(K16="","",IF(F16=MIN(F16:G16),"26.11","27.11")&amp;" → "&amp;IF(H16=MIN(H16:I16),"30.11","01.12"))</f>
        <v/>
      </c>
    </row>
    <row r="17">
      <c r="A17" s="4" t="inlineStr">
        <is>
          <t>SXB</t>
        </is>
      </c>
      <c r="B17" s="4" t="inlineStr">
        <is>
          <t>Strasbourg</t>
        </is>
      </c>
      <c r="C17" s="4" t="inlineStr">
        <is>
          <t>BSL</t>
        </is>
      </c>
      <c r="D17" s="4" t="inlineStr">
        <is>
          <t>Basel/Mulhouse</t>
        </is>
      </c>
      <c r="E17" s="4" t="inlineStr">
        <is>
          <t>tren ~1h15</t>
        </is>
      </c>
      <c r="F17" s="6">
        <f>IFERROR(IF(INDEX('Dus-intors'!F:F,MATCH("SXB",'Dus-intors'!A:A,0))="","",INDEX('Dus-intors'!F:F,MATCH("SXB",'Dus-intors'!A:A,0))),"")</f>
        <v/>
      </c>
      <c r="G17" s="6">
        <f>IFERROR(IF(INDEX('Dus-intors'!G:G,MATCH("SXB",'Dus-intors'!A:A,0))="","",INDEX('Dus-intors'!G:G,MATCH("SXB",'Dus-intors'!A:A,0))),"")</f>
        <v/>
      </c>
      <c r="H17" s="6">
        <f>IFERROR(IF(INDEX('Dus-intors'!H:H,MATCH("BSL",'Dus-intors'!A:A,0))="","",INDEX('Dus-intors'!H:H,MATCH("BSL",'Dus-intors'!A:A,0))),"")</f>
        <v/>
      </c>
      <c r="I17" s="6">
        <f>IFERROR(IF(INDEX('Dus-intors'!I:I,MATCH("BSL",'Dus-intors'!A:A,0))="","",INDEX('Dus-intors'!I:I,MATCH("BSL",'Dus-intors'!A:A,0))),"")</f>
        <v/>
      </c>
      <c r="J17" s="5" t="n"/>
      <c r="K17" s="6">
        <f>IF(OR(COUNT(F17:G17)=0,COUNT(H17:I17)=0),"",MIN(F17:G17)+MIN(H17:I17)+N(J17))</f>
        <v/>
      </c>
      <c r="L17" s="8">
        <f>IF(K17="","",IF(F17=MIN(F17:G17),"26.11","27.11")&amp;" → "&amp;IF(H17=MIN(H17:I17),"30.11","01.12"))</f>
        <v/>
      </c>
    </row>
    <row r="18">
      <c r="A18" s="4" t="inlineStr">
        <is>
          <t>BSL</t>
        </is>
      </c>
      <c r="B18" s="4" t="inlineStr">
        <is>
          <t>Basel/Mulhouse</t>
        </is>
      </c>
      <c r="C18" s="4" t="inlineStr">
        <is>
          <t>ZRH</t>
        </is>
      </c>
      <c r="D18" s="4" t="inlineStr">
        <is>
          <t>Zürich</t>
        </is>
      </c>
      <c r="E18" s="4" t="inlineStr">
        <is>
          <t>tren ~1h</t>
        </is>
      </c>
      <c r="F18" s="6">
        <f>IFERROR(IF(INDEX('Dus-intors'!F:F,MATCH("BSL",'Dus-intors'!A:A,0))="","",INDEX('Dus-intors'!F:F,MATCH("BSL",'Dus-intors'!A:A,0))),"")</f>
        <v/>
      </c>
      <c r="G18" s="6">
        <f>IFERROR(IF(INDEX('Dus-intors'!G:G,MATCH("BSL",'Dus-intors'!A:A,0))="","",INDEX('Dus-intors'!G:G,MATCH("BSL",'Dus-intors'!A:A,0))),"")</f>
        <v/>
      </c>
      <c r="H18" s="6">
        <f>IFERROR(IF(INDEX('Dus-intors'!H:H,MATCH("ZRH",'Dus-intors'!A:A,0))="","",INDEX('Dus-intors'!H:H,MATCH("ZRH",'Dus-intors'!A:A,0))),"")</f>
        <v/>
      </c>
      <c r="I18" s="6">
        <f>IFERROR(IF(INDEX('Dus-intors'!I:I,MATCH("ZRH",'Dus-intors'!A:A,0))="","",INDEX('Dus-intors'!I:I,MATCH("ZRH",'Dus-intors'!A:A,0))),"")</f>
        <v/>
      </c>
      <c r="J18" s="5" t="n"/>
      <c r="K18" s="6">
        <f>IF(OR(COUNT(F18:G18)=0,COUNT(H18:I18)=0),"",MIN(F18:G18)+MIN(H18:I18)+N(J18))</f>
        <v/>
      </c>
      <c r="L18" s="8">
        <f>IF(K18="","",IF(F18=MIN(F18:G18),"26.11","27.11")&amp;" → "&amp;IF(H18=MIN(H18:I18),"30.11","01.12"))</f>
        <v/>
      </c>
    </row>
    <row r="19">
      <c r="A19" s="4" t="inlineStr">
        <is>
          <t>ZRH</t>
        </is>
      </c>
      <c r="B19" s="4" t="inlineStr">
        <is>
          <t>Zürich</t>
        </is>
      </c>
      <c r="C19" s="4" t="inlineStr">
        <is>
          <t>BSL</t>
        </is>
      </c>
      <c r="D19" s="4" t="inlineStr">
        <is>
          <t>Basel/Mulhouse</t>
        </is>
      </c>
      <c r="E19" s="4" t="inlineStr">
        <is>
          <t>tren ~1h</t>
        </is>
      </c>
      <c r="F19" s="6">
        <f>IFERROR(IF(INDEX('Dus-intors'!F:F,MATCH("ZRH",'Dus-intors'!A:A,0))="","",INDEX('Dus-intors'!F:F,MATCH("ZRH",'Dus-intors'!A:A,0))),"")</f>
        <v/>
      </c>
      <c r="G19" s="6">
        <f>IFERROR(IF(INDEX('Dus-intors'!G:G,MATCH("ZRH",'Dus-intors'!A:A,0))="","",INDEX('Dus-intors'!G:G,MATCH("ZRH",'Dus-intors'!A:A,0))),"")</f>
        <v/>
      </c>
      <c r="H19" s="6">
        <f>IFERROR(IF(INDEX('Dus-intors'!H:H,MATCH("BSL",'Dus-intors'!A:A,0))="","",INDEX('Dus-intors'!H:H,MATCH("BSL",'Dus-intors'!A:A,0))),"")</f>
        <v/>
      </c>
      <c r="I19" s="6">
        <f>IFERROR(IF(INDEX('Dus-intors'!I:I,MATCH("BSL",'Dus-intors'!A:A,0))="","",INDEX('Dus-intors'!I:I,MATCH("BSL",'Dus-intors'!A:A,0))),"")</f>
        <v/>
      </c>
      <c r="J19" s="5" t="n"/>
      <c r="K19" s="6">
        <f>IF(OR(COUNT(F19:G19)=0,COUNT(H19:I19)=0),"",MIN(F19:G19)+MIN(H19:I19)+N(J19))</f>
        <v/>
      </c>
      <c r="L19" s="8">
        <f>IF(K19="","",IF(F19=MIN(F19:G19),"26.11","27.11")&amp;" → "&amp;IF(H19=MIN(H19:I19),"30.11","01.12"))</f>
        <v/>
      </c>
    </row>
    <row r="20">
      <c r="A20" s="4" t="inlineStr">
        <is>
          <t>FKB</t>
        </is>
      </c>
      <c r="B20" s="4" t="inlineStr">
        <is>
          <t>Karlsruhe/Baden-Baden</t>
        </is>
      </c>
      <c r="C20" s="4" t="inlineStr">
        <is>
          <t>HHN</t>
        </is>
      </c>
      <c r="D20" s="4" t="inlineStr">
        <is>
          <t>Frankfurt Hahn</t>
        </is>
      </c>
      <c r="E20" s="4" t="inlineStr">
        <is>
          <t>autocar/tren ~2h</t>
        </is>
      </c>
      <c r="F20" s="6">
        <f>IFERROR(IF(INDEX('Dus-intors'!F:F,MATCH("FKB",'Dus-intors'!A:A,0))="","",INDEX('Dus-intors'!F:F,MATCH("FKB",'Dus-intors'!A:A,0))),"")</f>
        <v/>
      </c>
      <c r="G20" s="6">
        <f>IFERROR(IF(INDEX('Dus-intors'!G:G,MATCH("FKB",'Dus-intors'!A:A,0))="","",INDEX('Dus-intors'!G:G,MATCH("FKB",'Dus-intors'!A:A,0))),"")</f>
        <v/>
      </c>
      <c r="H20" s="6">
        <f>IFERROR(IF(INDEX('Dus-intors'!H:H,MATCH("HHN",'Dus-intors'!A:A,0))="","",INDEX('Dus-intors'!H:H,MATCH("HHN",'Dus-intors'!A:A,0))),"")</f>
        <v/>
      </c>
      <c r="I20" s="6">
        <f>IFERROR(IF(INDEX('Dus-intors'!I:I,MATCH("HHN",'Dus-intors'!A:A,0))="","",INDEX('Dus-intors'!I:I,MATCH("HHN",'Dus-intors'!A:A,0))),"")</f>
        <v/>
      </c>
      <c r="J20" s="5" t="n"/>
      <c r="K20" s="6">
        <f>IF(OR(COUNT(F20:G20)=0,COUNT(H20:I20)=0),"",MIN(F20:G20)+MIN(H20:I20)+N(J20))</f>
        <v/>
      </c>
      <c r="L20" s="8">
        <f>IF(K20="","",IF(F20=MIN(F20:G20),"26.11","27.11")&amp;" → "&amp;IF(H20=MIN(H20:I20),"30.11","01.12"))</f>
        <v/>
      </c>
    </row>
    <row r="21">
      <c r="A21" s="4" t="inlineStr">
        <is>
          <t>HHN</t>
        </is>
      </c>
      <c r="B21" s="4" t="inlineStr">
        <is>
          <t>Frankfurt Hahn</t>
        </is>
      </c>
      <c r="C21" s="4" t="inlineStr">
        <is>
          <t>FKB</t>
        </is>
      </c>
      <c r="D21" s="4" t="inlineStr">
        <is>
          <t>Karlsruhe/Baden-Baden</t>
        </is>
      </c>
      <c r="E21" s="4" t="inlineStr">
        <is>
          <t>autocar/tren ~2h</t>
        </is>
      </c>
      <c r="F21" s="6">
        <f>IFERROR(IF(INDEX('Dus-intors'!F:F,MATCH("HHN",'Dus-intors'!A:A,0))="","",INDEX('Dus-intors'!F:F,MATCH("HHN",'Dus-intors'!A:A,0))),"")</f>
        <v/>
      </c>
      <c r="G21" s="6">
        <f>IFERROR(IF(INDEX('Dus-intors'!G:G,MATCH("HHN",'Dus-intors'!A:A,0))="","",INDEX('Dus-intors'!G:G,MATCH("HHN",'Dus-intors'!A:A,0))),"")</f>
        <v/>
      </c>
      <c r="H21" s="6">
        <f>IFERROR(IF(INDEX('Dus-intors'!H:H,MATCH("FKB",'Dus-intors'!A:A,0))="","",INDEX('Dus-intors'!H:H,MATCH("FKB",'Dus-intors'!A:A,0))),"")</f>
        <v/>
      </c>
      <c r="I21" s="6">
        <f>IFERROR(IF(INDEX('Dus-intors'!I:I,MATCH("FKB",'Dus-intors'!A:A,0))="","",INDEX('Dus-intors'!I:I,MATCH("FKB",'Dus-intors'!A:A,0))),"")</f>
        <v/>
      </c>
      <c r="J21" s="5" t="n"/>
      <c r="K21" s="6">
        <f>IF(OR(COUNT(F21:G21)=0,COUNT(H21:I21)=0),"",MIN(F21:G21)+MIN(H21:I21)+N(J21))</f>
        <v/>
      </c>
      <c r="L21" s="8">
        <f>IF(K21="","",IF(F21=MIN(F21:G21),"26.11","27.11")&amp;" → "&amp;IF(H21=MIN(H21:I21),"30.11","01.12"))</f>
        <v/>
      </c>
    </row>
    <row r="22">
      <c r="A22" s="4" t="inlineStr">
        <is>
          <t>FRA</t>
        </is>
      </c>
      <c r="B22" s="4" t="inlineStr">
        <is>
          <t>Frankfurt</t>
        </is>
      </c>
      <c r="C22" s="4" t="inlineStr">
        <is>
          <t>FKB</t>
        </is>
      </c>
      <c r="D22" s="4" t="inlineStr">
        <is>
          <t>Karlsruhe/Baden-Baden</t>
        </is>
      </c>
      <c r="E22" s="4" t="inlineStr">
        <is>
          <t>tren ~1h</t>
        </is>
      </c>
      <c r="F22" s="6">
        <f>IFERROR(IF(INDEX('Dus-intors'!F:F,MATCH("FRA",'Dus-intors'!A:A,0))="","",INDEX('Dus-intors'!F:F,MATCH("FRA",'Dus-intors'!A:A,0))),"")</f>
        <v/>
      </c>
      <c r="G22" s="6">
        <f>IFERROR(IF(INDEX('Dus-intors'!G:G,MATCH("FRA",'Dus-intors'!A:A,0))="","",INDEX('Dus-intors'!G:G,MATCH("FRA",'Dus-intors'!A:A,0))),"")</f>
        <v/>
      </c>
      <c r="H22" s="6">
        <f>IFERROR(IF(INDEX('Dus-intors'!H:H,MATCH("FKB",'Dus-intors'!A:A,0))="","",INDEX('Dus-intors'!H:H,MATCH("FKB",'Dus-intors'!A:A,0))),"")</f>
        <v/>
      </c>
      <c r="I22" s="6">
        <f>IFERROR(IF(INDEX('Dus-intors'!I:I,MATCH("FKB",'Dus-intors'!A:A,0))="","",INDEX('Dus-intors'!I:I,MATCH("FKB",'Dus-intors'!A:A,0))),"")</f>
        <v/>
      </c>
      <c r="J22" s="5" t="n"/>
      <c r="K22" s="6">
        <f>IF(OR(COUNT(F22:G22)=0,COUNT(H22:I22)=0),"",MIN(F22:G22)+MIN(H22:I22)+N(J22))</f>
        <v/>
      </c>
      <c r="L22" s="8">
        <f>IF(K22="","",IF(F22=MIN(F22:G22),"26.11","27.11")&amp;" → "&amp;IF(H22=MIN(H22:I22),"30.11","01.12"))</f>
        <v/>
      </c>
    </row>
    <row r="23">
      <c r="A23" s="4" t="inlineStr">
        <is>
          <t>CGN</t>
        </is>
      </c>
      <c r="B23" s="4" t="inlineStr">
        <is>
          <t>Köln</t>
        </is>
      </c>
      <c r="C23" s="4" t="inlineStr">
        <is>
          <t>DTM</t>
        </is>
      </c>
      <c r="D23" s="4" t="inlineStr">
        <is>
          <t>Dortmund</t>
        </is>
      </c>
      <c r="E23" s="4" t="inlineStr">
        <is>
          <t>tren ~1h20</t>
        </is>
      </c>
      <c r="F23" s="6">
        <f>IFERROR(IF(INDEX('Dus-intors'!F:F,MATCH("CGN",'Dus-intors'!A:A,0))="","",INDEX('Dus-intors'!F:F,MATCH("CGN",'Dus-intors'!A:A,0))),"")</f>
        <v/>
      </c>
      <c r="G23" s="6">
        <f>IFERROR(IF(INDEX('Dus-intors'!G:G,MATCH("CGN",'Dus-intors'!A:A,0))="","",INDEX('Dus-intors'!G:G,MATCH("CGN",'Dus-intors'!A:A,0))),"")</f>
        <v/>
      </c>
      <c r="H23" s="6">
        <f>IFERROR(IF(INDEX('Dus-intors'!H:H,MATCH("DTM",'Dus-intors'!A:A,0))="","",INDEX('Dus-intors'!H:H,MATCH("DTM",'Dus-intors'!A:A,0))),"")</f>
        <v/>
      </c>
      <c r="I23" s="6">
        <f>IFERROR(IF(INDEX('Dus-intors'!I:I,MATCH("DTM",'Dus-intors'!A:A,0))="","",INDEX('Dus-intors'!I:I,MATCH("DTM",'Dus-intors'!A:A,0))),"")</f>
        <v/>
      </c>
      <c r="J23" s="5" t="n"/>
      <c r="K23" s="6">
        <f>IF(OR(COUNT(F23:G23)=0,COUNT(H23:I23)=0),"",MIN(F23:G23)+MIN(H23:I23)+N(J23))</f>
        <v/>
      </c>
      <c r="L23" s="8">
        <f>IF(K23="","",IF(F23=MIN(F23:G23),"26.11","27.11")&amp;" → "&amp;IF(H23=MIN(H23:I23),"30.11","01.12"))</f>
        <v/>
      </c>
    </row>
    <row r="24">
      <c r="A24" s="4" t="inlineStr">
        <is>
          <t>DTM</t>
        </is>
      </c>
      <c r="B24" s="4" t="inlineStr">
        <is>
          <t>Dortmund</t>
        </is>
      </c>
      <c r="C24" s="4" t="inlineStr">
        <is>
          <t>CGN</t>
        </is>
      </c>
      <c r="D24" s="4" t="inlineStr">
        <is>
          <t>Köln</t>
        </is>
      </c>
      <c r="E24" s="4" t="inlineStr">
        <is>
          <t>tren ~1h20</t>
        </is>
      </c>
      <c r="F24" s="6">
        <f>IFERROR(IF(INDEX('Dus-intors'!F:F,MATCH("DTM",'Dus-intors'!A:A,0))="","",INDEX('Dus-intors'!F:F,MATCH("DTM",'Dus-intors'!A:A,0))),"")</f>
        <v/>
      </c>
      <c r="G24" s="6">
        <f>IFERROR(IF(INDEX('Dus-intors'!G:G,MATCH("DTM",'Dus-intors'!A:A,0))="","",INDEX('Dus-intors'!G:G,MATCH("DTM",'Dus-intors'!A:A,0))),"")</f>
        <v/>
      </c>
      <c r="H24" s="6">
        <f>IFERROR(IF(INDEX('Dus-intors'!H:H,MATCH("CGN",'Dus-intors'!A:A,0))="","",INDEX('Dus-intors'!H:H,MATCH("CGN",'Dus-intors'!A:A,0))),"")</f>
        <v/>
      </c>
      <c r="I24" s="6">
        <f>IFERROR(IF(INDEX('Dus-intors'!I:I,MATCH("CGN",'Dus-intors'!A:A,0))="","",INDEX('Dus-intors'!I:I,MATCH("CGN",'Dus-intors'!A:A,0))),"")</f>
        <v/>
      </c>
      <c r="J24" s="5" t="n"/>
      <c r="K24" s="6">
        <f>IF(OR(COUNT(F24:G24)=0,COUNT(H24:I24)=0),"",MIN(F24:G24)+MIN(H24:I24)+N(J24))</f>
        <v/>
      </c>
      <c r="L24" s="8">
        <f>IF(K24="","",IF(F24=MIN(F24:G24),"26.11","27.11")&amp;" → "&amp;IF(H24=MIN(H24:I24),"30.11","01.12"))</f>
        <v/>
      </c>
    </row>
    <row r="25">
      <c r="A25" s="4" t="inlineStr">
        <is>
          <t>CGN</t>
        </is>
      </c>
      <c r="B25" s="4" t="inlineStr">
        <is>
          <t>Köln</t>
        </is>
      </c>
      <c r="C25" s="4" t="inlineStr">
        <is>
          <t>MST</t>
        </is>
      </c>
      <c r="D25" s="4" t="inlineStr">
        <is>
          <t>Maastricht/Aachen</t>
        </is>
      </c>
      <c r="E25" s="4" t="inlineStr">
        <is>
          <t>tren ~1h30 via Aachen</t>
        </is>
      </c>
      <c r="F25" s="6">
        <f>IFERROR(IF(INDEX('Dus-intors'!F:F,MATCH("CGN",'Dus-intors'!A:A,0))="","",INDEX('Dus-intors'!F:F,MATCH("CGN",'Dus-intors'!A:A,0))),"")</f>
        <v/>
      </c>
      <c r="G25" s="6">
        <f>IFERROR(IF(INDEX('Dus-intors'!G:G,MATCH("CGN",'Dus-intors'!A:A,0))="","",INDEX('Dus-intors'!G:G,MATCH("CGN",'Dus-intors'!A:A,0))),"")</f>
        <v/>
      </c>
      <c r="H25" s="6">
        <f>IFERROR(IF(INDEX('Dus-intors'!H:H,MATCH("MST",'Dus-intors'!A:A,0))="","",INDEX('Dus-intors'!H:H,MATCH("MST",'Dus-intors'!A:A,0))),"")</f>
        <v/>
      </c>
      <c r="I25" s="6">
        <f>IFERROR(IF(INDEX('Dus-intors'!I:I,MATCH("MST",'Dus-intors'!A:A,0))="","",INDEX('Dus-intors'!I:I,MATCH("MST",'Dus-intors'!A:A,0))),"")</f>
        <v/>
      </c>
      <c r="J25" s="5" t="n"/>
      <c r="K25" s="6">
        <f>IF(OR(COUNT(F25:G25)=0,COUNT(H25:I25)=0),"",MIN(F25:G25)+MIN(H25:I25)+N(J25))</f>
        <v/>
      </c>
      <c r="L25" s="8">
        <f>IF(K25="","",IF(F25=MIN(F25:G25),"26.11","27.11")&amp;" → "&amp;IF(H25=MIN(H25:I25),"30.11","01.12"))</f>
        <v/>
      </c>
    </row>
    <row r="26">
      <c r="A26" s="4" t="inlineStr">
        <is>
          <t>MST</t>
        </is>
      </c>
      <c r="B26" s="4" t="inlineStr">
        <is>
          <t>Maastricht/Aachen</t>
        </is>
      </c>
      <c r="C26" s="4" t="inlineStr">
        <is>
          <t>CGN</t>
        </is>
      </c>
      <c r="D26" s="4" t="inlineStr">
        <is>
          <t>Köln</t>
        </is>
      </c>
      <c r="E26" s="4" t="inlineStr">
        <is>
          <t>tren ~1h30</t>
        </is>
      </c>
      <c r="F26" s="6">
        <f>IFERROR(IF(INDEX('Dus-intors'!F:F,MATCH("MST",'Dus-intors'!A:A,0))="","",INDEX('Dus-intors'!F:F,MATCH("MST",'Dus-intors'!A:A,0))),"")</f>
        <v/>
      </c>
      <c r="G26" s="6">
        <f>IFERROR(IF(INDEX('Dus-intors'!G:G,MATCH("MST",'Dus-intors'!A:A,0))="","",INDEX('Dus-intors'!G:G,MATCH("MST",'Dus-intors'!A:A,0))),"")</f>
        <v/>
      </c>
      <c r="H26" s="6">
        <f>IFERROR(IF(INDEX('Dus-intors'!H:H,MATCH("CGN",'Dus-intors'!A:A,0))="","",INDEX('Dus-intors'!H:H,MATCH("CGN",'Dus-intors'!A:A,0))),"")</f>
        <v/>
      </c>
      <c r="I26" s="6">
        <f>IFERROR(IF(INDEX('Dus-intors'!I:I,MATCH("CGN",'Dus-intors'!A:A,0))="","",INDEX('Dus-intors'!I:I,MATCH("CGN",'Dus-intors'!A:A,0))),"")</f>
        <v/>
      </c>
      <c r="J26" s="5" t="n"/>
      <c r="K26" s="6">
        <f>IF(OR(COUNT(F26:G26)=0,COUNT(H26:I26)=0),"",MIN(F26:G26)+MIN(H26:I26)+N(J26))</f>
        <v/>
      </c>
      <c r="L26" s="8">
        <f>IF(K26="","",IF(F26=MIN(F26:G26),"26.11","27.11")&amp;" → "&amp;IF(H26=MIN(H26:I26),"30.11","01.12"))</f>
        <v/>
      </c>
    </row>
    <row r="27">
      <c r="A27" s="4" t="inlineStr">
        <is>
          <t>CRL</t>
        </is>
      </c>
      <c r="B27" s="4" t="inlineStr">
        <is>
          <t>Bruxelles Charleroi</t>
        </is>
      </c>
      <c r="C27" s="4" t="inlineStr">
        <is>
          <t>MST</t>
        </is>
      </c>
      <c r="D27" s="4" t="inlineStr">
        <is>
          <t>Maastricht/Aachen</t>
        </is>
      </c>
      <c r="E27" s="4" t="inlineStr">
        <is>
          <t>tren ~2h</t>
        </is>
      </c>
      <c r="F27" s="6">
        <f>IFERROR(IF(INDEX('Dus-intors'!F:F,MATCH("CRL",'Dus-intors'!A:A,0))="","",INDEX('Dus-intors'!F:F,MATCH("CRL",'Dus-intors'!A:A,0))),"")</f>
        <v/>
      </c>
      <c r="G27" s="6">
        <f>IFERROR(IF(INDEX('Dus-intors'!G:G,MATCH("CRL",'Dus-intors'!A:A,0))="","",INDEX('Dus-intors'!G:G,MATCH("CRL",'Dus-intors'!A:A,0))),"")</f>
        <v/>
      </c>
      <c r="H27" s="6">
        <f>IFERROR(IF(INDEX('Dus-intors'!H:H,MATCH("MST",'Dus-intors'!A:A,0))="","",INDEX('Dus-intors'!H:H,MATCH("MST",'Dus-intors'!A:A,0))),"")</f>
        <v/>
      </c>
      <c r="I27" s="6">
        <f>IFERROR(IF(INDEX('Dus-intors'!I:I,MATCH("MST",'Dus-intors'!A:A,0))="","",INDEX('Dus-intors'!I:I,MATCH("MST",'Dus-intors'!A:A,0))),"")</f>
        <v/>
      </c>
      <c r="J27" s="5" t="n"/>
      <c r="K27" s="6">
        <f>IF(OR(COUNT(F27:G27)=0,COUNT(H27:I27)=0),"",MIN(F27:G27)+MIN(H27:I27)+N(J27))</f>
        <v/>
      </c>
      <c r="L27" s="8">
        <f>IF(K27="","",IF(F27=MIN(F27:G27),"26.11","27.11")&amp;" → "&amp;IF(H27=MIN(H27:I27),"30.11","01.12"))</f>
        <v/>
      </c>
    </row>
    <row r="28">
      <c r="A28" s="4" t="inlineStr">
        <is>
          <t>EIN</t>
        </is>
      </c>
      <c r="B28" s="4" t="inlineStr">
        <is>
          <t>Eindhoven</t>
        </is>
      </c>
      <c r="C28" s="4" t="inlineStr">
        <is>
          <t>CGN</t>
        </is>
      </c>
      <c r="D28" s="4" t="inlineStr">
        <is>
          <t>Köln</t>
        </is>
      </c>
      <c r="E28" s="4" t="inlineStr">
        <is>
          <t>tren ~2h</t>
        </is>
      </c>
      <c r="F28" s="6">
        <f>IFERROR(IF(INDEX('Dus-intors'!F:F,MATCH("EIN",'Dus-intors'!A:A,0))="","",INDEX('Dus-intors'!F:F,MATCH("EIN",'Dus-intors'!A:A,0))),"")</f>
        <v/>
      </c>
      <c r="G28" s="6">
        <f>IFERROR(IF(INDEX('Dus-intors'!G:G,MATCH("EIN",'Dus-intors'!A:A,0))="","",INDEX('Dus-intors'!G:G,MATCH("EIN",'Dus-intors'!A:A,0))),"")</f>
        <v/>
      </c>
      <c r="H28" s="6">
        <f>IFERROR(IF(INDEX('Dus-intors'!H:H,MATCH("CGN",'Dus-intors'!A:A,0))="","",INDEX('Dus-intors'!H:H,MATCH("CGN",'Dus-intors'!A:A,0))),"")</f>
        <v/>
      </c>
      <c r="I28" s="6">
        <f>IFERROR(IF(INDEX('Dus-intors'!I:I,MATCH("CGN",'Dus-intors'!A:A,0))="","",INDEX('Dus-intors'!I:I,MATCH("CGN",'Dus-intors'!A:A,0))),"")</f>
        <v/>
      </c>
      <c r="J28" s="5" t="n"/>
      <c r="K28" s="6">
        <f>IF(OR(COUNT(F28:G28)=0,COUNT(H28:I28)=0),"",MIN(F28:G28)+MIN(H28:I28)+N(J28))</f>
        <v/>
      </c>
      <c r="L28" s="8">
        <f>IF(K28="","",IF(F28=MIN(F28:G28),"26.11","27.11")&amp;" → "&amp;IF(H28=MIN(H28:I28),"30.11","01.12"))</f>
        <v/>
      </c>
    </row>
    <row r="29">
      <c r="A29" s="4" t="inlineStr">
        <is>
          <t>CRL</t>
        </is>
      </c>
      <c r="B29" s="4" t="inlineStr">
        <is>
          <t>Bruxelles Charleroi</t>
        </is>
      </c>
      <c r="C29" s="4" t="inlineStr">
        <is>
          <t>EIN</t>
        </is>
      </c>
      <c r="D29" s="4" t="inlineStr">
        <is>
          <t>Eindhoven</t>
        </is>
      </c>
      <c r="E29" s="4" t="inlineStr">
        <is>
          <t>tren ~2h</t>
        </is>
      </c>
      <c r="F29" s="6">
        <f>IFERROR(IF(INDEX('Dus-intors'!F:F,MATCH("CRL",'Dus-intors'!A:A,0))="","",INDEX('Dus-intors'!F:F,MATCH("CRL",'Dus-intors'!A:A,0))),"")</f>
        <v/>
      </c>
      <c r="G29" s="6">
        <f>IFERROR(IF(INDEX('Dus-intors'!G:G,MATCH("CRL",'Dus-intors'!A:A,0))="","",INDEX('Dus-intors'!G:G,MATCH("CRL",'Dus-intors'!A:A,0))),"")</f>
        <v/>
      </c>
      <c r="H29" s="6">
        <f>IFERROR(IF(INDEX('Dus-intors'!H:H,MATCH("EIN",'Dus-intors'!A:A,0))="","",INDEX('Dus-intors'!H:H,MATCH("EIN",'Dus-intors'!A:A,0))),"")</f>
        <v/>
      </c>
      <c r="I29" s="6">
        <f>IFERROR(IF(INDEX('Dus-intors'!I:I,MATCH("EIN",'Dus-intors'!A:A,0))="","",INDEX('Dus-intors'!I:I,MATCH("EIN",'Dus-intors'!A:A,0))),"")</f>
        <v/>
      </c>
      <c r="J29" s="5" t="n"/>
      <c r="K29" s="6">
        <f>IF(OR(COUNT(F29:G29)=0,COUNT(H29:I29)=0),"",MIN(F29:G29)+MIN(H29:I29)+N(J29))</f>
        <v/>
      </c>
      <c r="L29" s="8">
        <f>IF(K29="","",IF(F29=MIN(F29:G29),"26.11","27.11")&amp;" → "&amp;IF(H29=MIN(H29:I29),"30.11","01.12"))</f>
        <v/>
      </c>
    </row>
    <row r="30">
      <c r="A30" s="4" t="inlineStr">
        <is>
          <t>CRL</t>
        </is>
      </c>
      <c r="B30" s="4" t="inlineStr">
        <is>
          <t>Bruxelles Charleroi</t>
        </is>
      </c>
      <c r="C30" s="4" t="inlineStr">
        <is>
          <t>BVA</t>
        </is>
      </c>
      <c r="D30" s="4" t="inlineStr">
        <is>
          <t>Paris Beauvais</t>
        </is>
      </c>
      <c r="E30" s="4" t="inlineStr">
        <is>
          <t>tren/autocar ~4h via Paris</t>
        </is>
      </c>
      <c r="F30" s="6">
        <f>IFERROR(IF(INDEX('Dus-intors'!F:F,MATCH("CRL",'Dus-intors'!A:A,0))="","",INDEX('Dus-intors'!F:F,MATCH("CRL",'Dus-intors'!A:A,0))),"")</f>
        <v/>
      </c>
      <c r="G30" s="6">
        <f>IFERROR(IF(INDEX('Dus-intors'!G:G,MATCH("CRL",'Dus-intors'!A:A,0))="","",INDEX('Dus-intors'!G:G,MATCH("CRL",'Dus-intors'!A:A,0))),"")</f>
        <v/>
      </c>
      <c r="H30" s="6">
        <f>IFERROR(IF(INDEX('Dus-intors'!H:H,MATCH("BVA",'Dus-intors'!A:A,0))="","",INDEX('Dus-intors'!H:H,MATCH("BVA",'Dus-intors'!A:A,0))),"")</f>
        <v/>
      </c>
      <c r="I30" s="6">
        <f>IFERROR(IF(INDEX('Dus-intors'!I:I,MATCH("BVA",'Dus-intors'!A:A,0))="","",INDEX('Dus-intors'!I:I,MATCH("BVA",'Dus-intors'!A:A,0))),"")</f>
        <v/>
      </c>
      <c r="J30" s="5" t="n"/>
      <c r="K30" s="6">
        <f>IF(OR(COUNT(F30:G30)=0,COUNT(H30:I30)=0),"",MIN(F30:G30)+MIN(H30:I30)+N(J30))</f>
        <v/>
      </c>
      <c r="L30" s="8">
        <f>IF(K30="","",IF(F30=MIN(F30:G30),"26.11","27.11")&amp;" → "&amp;IF(H30=MIN(H30:I30),"30.11","01.12"))</f>
        <v/>
      </c>
    </row>
    <row r="31">
      <c r="A31" s="4" t="inlineStr">
        <is>
          <t>NUE</t>
        </is>
      </c>
      <c r="B31" s="4" t="inlineStr">
        <is>
          <t>Nürnberg</t>
        </is>
      </c>
      <c r="C31" s="4" t="inlineStr">
        <is>
          <t>PRG</t>
        </is>
      </c>
      <c r="D31" s="4" t="inlineStr">
        <is>
          <t>Praga</t>
        </is>
      </c>
      <c r="E31" s="4" t="inlineStr">
        <is>
          <t>autobuz ~3h45</t>
        </is>
      </c>
      <c r="F31" s="6">
        <f>IFERROR(IF(INDEX('Dus-intors'!F:F,MATCH("NUE",'Dus-intors'!A:A,0))="","",INDEX('Dus-intors'!F:F,MATCH("NUE",'Dus-intors'!A:A,0))),"")</f>
        <v/>
      </c>
      <c r="G31" s="6">
        <f>IFERROR(IF(INDEX('Dus-intors'!G:G,MATCH("NUE",'Dus-intors'!A:A,0))="","",INDEX('Dus-intors'!G:G,MATCH("NUE",'Dus-intors'!A:A,0))),"")</f>
        <v/>
      </c>
      <c r="H31" s="6">
        <f>IFERROR(IF(INDEX('Dus-intors'!H:H,MATCH("PRG",'Dus-intors'!A:A,0))="","",INDEX('Dus-intors'!H:H,MATCH("PRG",'Dus-intors'!A:A,0))),"")</f>
        <v/>
      </c>
      <c r="I31" s="6">
        <f>IFERROR(IF(INDEX('Dus-intors'!I:I,MATCH("PRG",'Dus-intors'!A:A,0))="","",INDEX('Dus-intors'!I:I,MATCH("PRG",'Dus-intors'!A:A,0))),"")</f>
        <v/>
      </c>
      <c r="J31" s="5" t="n"/>
      <c r="K31" s="6">
        <f>IF(OR(COUNT(F31:G31)=0,COUNT(H31:I31)=0),"",MIN(F31:G31)+MIN(H31:I31)+N(J31))</f>
        <v/>
      </c>
      <c r="L31" s="8">
        <f>IF(K31="","",IF(F31=MIN(F31:G31),"26.11","27.11")&amp;" → "&amp;IF(H31=MIN(H31:I31),"30.11","01.12"))</f>
        <v/>
      </c>
    </row>
    <row r="32">
      <c r="A32" s="4" t="inlineStr">
        <is>
          <t>PRG</t>
        </is>
      </c>
      <c r="B32" s="4" t="inlineStr">
        <is>
          <t>Praga</t>
        </is>
      </c>
      <c r="C32" s="4" t="inlineStr">
        <is>
          <t>NUE</t>
        </is>
      </c>
      <c r="D32" s="4" t="inlineStr">
        <is>
          <t>Nürnberg</t>
        </is>
      </c>
      <c r="E32" s="4" t="inlineStr">
        <is>
          <t>autobuz ~3h45</t>
        </is>
      </c>
      <c r="F32" s="6">
        <f>IFERROR(IF(INDEX('Dus-intors'!F:F,MATCH("PRG",'Dus-intors'!A:A,0))="","",INDEX('Dus-intors'!F:F,MATCH("PRG",'Dus-intors'!A:A,0))),"")</f>
        <v/>
      </c>
      <c r="G32" s="6">
        <f>IFERROR(IF(INDEX('Dus-intors'!G:G,MATCH("PRG",'Dus-intors'!A:A,0))="","",INDEX('Dus-intors'!G:G,MATCH("PRG",'Dus-intors'!A:A,0))),"")</f>
        <v/>
      </c>
      <c r="H32" s="6">
        <f>IFERROR(IF(INDEX('Dus-intors'!H:H,MATCH("NUE",'Dus-intors'!A:A,0))="","",INDEX('Dus-intors'!H:H,MATCH("NUE",'Dus-intors'!A:A,0))),"")</f>
        <v/>
      </c>
      <c r="I32" s="6">
        <f>IFERROR(IF(INDEX('Dus-intors'!I:I,MATCH("NUE",'Dus-intors'!A:A,0))="","",INDEX('Dus-intors'!I:I,MATCH("NUE",'Dus-intors'!A:A,0))),"")</f>
        <v/>
      </c>
      <c r="J32" s="5" t="n"/>
      <c r="K32" s="6">
        <f>IF(OR(COUNT(F32:G32)=0,COUNT(H32:I32)=0),"",MIN(F32:G32)+MIN(H32:I32)+N(J32))</f>
        <v/>
      </c>
      <c r="L32" s="8">
        <f>IF(K32="","",IF(F32=MIN(F32:G32),"26.11","27.11")&amp;" → "&amp;IF(H32=MIN(H32:I32),"30.11","01.12"))</f>
        <v/>
      </c>
    </row>
    <row r="33">
      <c r="A33" s="4" t="inlineStr">
        <is>
          <t>VIE</t>
        </is>
      </c>
      <c r="B33" s="4" t="inlineStr">
        <is>
          <t>Viena</t>
        </is>
      </c>
      <c r="C33" s="4" t="inlineStr">
        <is>
          <t>BTS</t>
        </is>
      </c>
      <c r="D33" s="4" t="inlineStr">
        <is>
          <t>Bratislava</t>
        </is>
      </c>
      <c r="E33" s="4" t="inlineStr">
        <is>
          <t>autobuz/tren ~1h</t>
        </is>
      </c>
      <c r="F33" s="6">
        <f>IFERROR(IF(INDEX('Dus-intors'!F:F,MATCH("VIE",'Dus-intors'!A:A,0))="","",INDEX('Dus-intors'!F:F,MATCH("VIE",'Dus-intors'!A:A,0))),"")</f>
        <v/>
      </c>
      <c r="G33" s="6">
        <f>IFERROR(IF(INDEX('Dus-intors'!G:G,MATCH("VIE",'Dus-intors'!A:A,0))="","",INDEX('Dus-intors'!G:G,MATCH("VIE",'Dus-intors'!A:A,0))),"")</f>
        <v/>
      </c>
      <c r="H33" s="6">
        <f>IFERROR(IF(INDEX('Dus-intors'!H:H,MATCH("BTS",'Dus-intors'!A:A,0))="","",INDEX('Dus-intors'!H:H,MATCH("BTS",'Dus-intors'!A:A,0))),"")</f>
        <v/>
      </c>
      <c r="I33" s="6">
        <f>IFERROR(IF(INDEX('Dus-intors'!I:I,MATCH("BTS",'Dus-intors'!A:A,0))="","",INDEX('Dus-intors'!I:I,MATCH("BTS",'Dus-intors'!A:A,0))),"")</f>
        <v/>
      </c>
      <c r="J33" s="5" t="n"/>
      <c r="K33" s="6">
        <f>IF(OR(COUNT(F33:G33)=0,COUNT(H33:I33)=0),"",MIN(F33:G33)+MIN(H33:I33)+N(J33))</f>
        <v/>
      </c>
      <c r="L33" s="8">
        <f>IF(K33="","",IF(F33=MIN(F33:G33),"26.11","27.11")&amp;" → "&amp;IF(H33=MIN(H33:I33),"30.11","01.12"))</f>
        <v/>
      </c>
    </row>
    <row r="34">
      <c r="A34" s="4" t="inlineStr">
        <is>
          <t>BTS</t>
        </is>
      </c>
      <c r="B34" s="4" t="inlineStr">
        <is>
          <t>Bratislava</t>
        </is>
      </c>
      <c r="C34" s="4" t="inlineStr">
        <is>
          <t>VIE</t>
        </is>
      </c>
      <c r="D34" s="4" t="inlineStr">
        <is>
          <t>Viena</t>
        </is>
      </c>
      <c r="E34" s="4" t="inlineStr">
        <is>
          <t>autobuz/tren ~1h</t>
        </is>
      </c>
      <c r="F34" s="6">
        <f>IFERROR(IF(INDEX('Dus-intors'!F:F,MATCH("BTS",'Dus-intors'!A:A,0))="","",INDEX('Dus-intors'!F:F,MATCH("BTS",'Dus-intors'!A:A,0))),"")</f>
        <v/>
      </c>
      <c r="G34" s="6">
        <f>IFERROR(IF(INDEX('Dus-intors'!G:G,MATCH("BTS",'Dus-intors'!A:A,0))="","",INDEX('Dus-intors'!G:G,MATCH("BTS",'Dus-intors'!A:A,0))),"")</f>
        <v/>
      </c>
      <c r="H34" s="6">
        <f>IFERROR(IF(INDEX('Dus-intors'!H:H,MATCH("VIE",'Dus-intors'!A:A,0))="","",INDEX('Dus-intors'!H:H,MATCH("VIE",'Dus-intors'!A:A,0))),"")</f>
        <v/>
      </c>
      <c r="I34" s="6">
        <f>IFERROR(IF(INDEX('Dus-intors'!I:I,MATCH("VIE",'Dus-intors'!A:A,0))="","",INDEX('Dus-intors'!I:I,MATCH("VIE",'Dus-intors'!A:A,0))),"")</f>
        <v/>
      </c>
      <c r="J34" s="5" t="n"/>
      <c r="K34" s="6">
        <f>IF(OR(COUNT(F34:G34)=0,COUNT(H34:I34)=0),"",MIN(F34:G34)+MIN(H34:I34)+N(J34))</f>
        <v/>
      </c>
      <c r="L34" s="8">
        <f>IF(K34="","",IF(F34=MIN(F34:G34),"26.11","27.11")&amp;" → "&amp;IF(H34=MIN(H34:I34),"30.11","01.12"))</f>
        <v/>
      </c>
    </row>
    <row r="35">
      <c r="A35" s="4" t="inlineStr">
        <is>
          <t>VIE</t>
        </is>
      </c>
      <c r="B35" s="4" t="inlineStr">
        <is>
          <t>Viena</t>
        </is>
      </c>
      <c r="C35" s="4" t="inlineStr">
        <is>
          <t>SZG</t>
        </is>
      </c>
      <c r="D35" s="4" t="inlineStr">
        <is>
          <t>Salzburg</t>
        </is>
      </c>
      <c r="E35" s="4" t="inlineStr">
        <is>
          <t>tren ~2h30</t>
        </is>
      </c>
      <c r="F35" s="6">
        <f>IFERROR(IF(INDEX('Dus-intors'!F:F,MATCH("VIE",'Dus-intors'!A:A,0))="","",INDEX('Dus-intors'!F:F,MATCH("VIE",'Dus-intors'!A:A,0))),"")</f>
        <v/>
      </c>
      <c r="G35" s="6">
        <f>IFERROR(IF(INDEX('Dus-intors'!G:G,MATCH("VIE",'Dus-intors'!A:A,0))="","",INDEX('Dus-intors'!G:G,MATCH("VIE",'Dus-intors'!A:A,0))),"")</f>
        <v/>
      </c>
      <c r="H35" s="6">
        <f>IFERROR(IF(INDEX('Dus-intors'!H:H,MATCH("SZG",'Dus-intors'!A:A,0))="","",INDEX('Dus-intors'!H:H,MATCH("SZG",'Dus-intors'!A:A,0))),"")</f>
        <v/>
      </c>
      <c r="I35" s="6">
        <f>IFERROR(IF(INDEX('Dus-intors'!I:I,MATCH("SZG",'Dus-intors'!A:A,0))="","",INDEX('Dus-intors'!I:I,MATCH("SZG",'Dus-intors'!A:A,0))),"")</f>
        <v/>
      </c>
      <c r="J35" s="5" t="n"/>
      <c r="K35" s="6">
        <f>IF(OR(COUNT(F35:G35)=0,COUNT(H35:I35)=0),"",MIN(F35:G35)+MIN(H35:I35)+N(J35))</f>
        <v/>
      </c>
      <c r="L35" s="8">
        <f>IF(K35="","",IF(F35=MIN(F35:G35),"26.11","27.11")&amp;" → "&amp;IF(H35=MIN(H35:I35),"30.11","01.12"))</f>
        <v/>
      </c>
    </row>
    <row r="36">
      <c r="A36" s="4" t="inlineStr">
        <is>
          <t>SZG</t>
        </is>
      </c>
      <c r="B36" s="4" t="inlineStr">
        <is>
          <t>Salzburg</t>
        </is>
      </c>
      <c r="C36" s="4" t="inlineStr">
        <is>
          <t>VIE</t>
        </is>
      </c>
      <c r="D36" s="4" t="inlineStr">
        <is>
          <t>Viena</t>
        </is>
      </c>
      <c r="E36" s="4" t="inlineStr">
        <is>
          <t>tren ~2h30</t>
        </is>
      </c>
      <c r="F36" s="6">
        <f>IFERROR(IF(INDEX('Dus-intors'!F:F,MATCH("SZG",'Dus-intors'!A:A,0))="","",INDEX('Dus-intors'!F:F,MATCH("SZG",'Dus-intors'!A:A,0))),"")</f>
        <v/>
      </c>
      <c r="G36" s="6">
        <f>IFERROR(IF(INDEX('Dus-intors'!G:G,MATCH("SZG",'Dus-intors'!A:A,0))="","",INDEX('Dus-intors'!G:G,MATCH("SZG",'Dus-intors'!A:A,0))),"")</f>
        <v/>
      </c>
      <c r="H36" s="6">
        <f>IFERROR(IF(INDEX('Dus-intors'!H:H,MATCH("VIE",'Dus-intors'!A:A,0))="","",INDEX('Dus-intors'!H:H,MATCH("VIE",'Dus-intors'!A:A,0))),"")</f>
        <v/>
      </c>
      <c r="I36" s="6">
        <f>IFERROR(IF(INDEX('Dus-intors'!I:I,MATCH("VIE",'Dus-intors'!A:A,0))="","",INDEX('Dus-intors'!I:I,MATCH("VIE",'Dus-intors'!A:A,0))),"")</f>
        <v/>
      </c>
      <c r="J36" s="5" t="n"/>
      <c r="K36" s="6">
        <f>IF(OR(COUNT(F36:G36)=0,COUNT(H36:I36)=0),"",MIN(F36:G36)+MIN(H36:I36)+N(J36))</f>
        <v/>
      </c>
      <c r="L36" s="8">
        <f>IF(K36="","",IF(F36=MIN(F36:G36),"26.11","27.11")&amp;" → "&amp;IF(H36=MIN(H36:I36),"30.11","01.12"))</f>
        <v/>
      </c>
    </row>
    <row r="37">
      <c r="A37" s="4" t="inlineStr">
        <is>
          <t>SZG</t>
        </is>
      </c>
      <c r="B37" s="4" t="inlineStr">
        <is>
          <t>Salzburg</t>
        </is>
      </c>
      <c r="C37" s="4" t="inlineStr">
        <is>
          <t>MUC</t>
        </is>
      </c>
      <c r="D37" s="4" t="inlineStr">
        <is>
          <t>München</t>
        </is>
      </c>
      <c r="E37" s="4" t="inlineStr">
        <is>
          <t>tren ~1h30</t>
        </is>
      </c>
      <c r="F37" s="6">
        <f>IFERROR(IF(INDEX('Dus-intors'!F:F,MATCH("SZG",'Dus-intors'!A:A,0))="","",INDEX('Dus-intors'!F:F,MATCH("SZG",'Dus-intors'!A:A,0))),"")</f>
        <v/>
      </c>
      <c r="G37" s="6">
        <f>IFERROR(IF(INDEX('Dus-intors'!G:G,MATCH("SZG",'Dus-intors'!A:A,0))="","",INDEX('Dus-intors'!G:G,MATCH("SZG",'Dus-intors'!A:A,0))),"")</f>
        <v/>
      </c>
      <c r="H37" s="6">
        <f>IFERROR(IF(INDEX('Dus-intors'!H:H,MATCH("MUC",'Dus-intors'!A:A,0))="","",INDEX('Dus-intors'!H:H,MATCH("MUC",'Dus-intors'!A:A,0))),"")</f>
        <v/>
      </c>
      <c r="I37" s="6">
        <f>IFERROR(IF(INDEX('Dus-intors'!I:I,MATCH("MUC",'Dus-intors'!A:A,0))="","",INDEX('Dus-intors'!I:I,MATCH("MUC",'Dus-intors'!A:A,0))),"")</f>
        <v/>
      </c>
      <c r="J37" s="5" t="n"/>
      <c r="K37" s="6">
        <f>IF(OR(COUNT(F37:G37)=0,COUNT(H37:I37)=0),"",MIN(F37:G37)+MIN(H37:I37)+N(J37))</f>
        <v/>
      </c>
      <c r="L37" s="8">
        <f>IF(K37="","",IF(F37=MIN(F37:G37),"26.11","27.11")&amp;" → "&amp;IF(H37=MIN(H37:I37),"30.11","01.12"))</f>
        <v/>
      </c>
    </row>
    <row r="38">
      <c r="A38" s="4" t="inlineStr">
        <is>
          <t>MUC</t>
        </is>
      </c>
      <c r="B38" s="4" t="inlineStr">
        <is>
          <t>München</t>
        </is>
      </c>
      <c r="C38" s="4" t="inlineStr">
        <is>
          <t>SZG</t>
        </is>
      </c>
      <c r="D38" s="4" t="inlineStr">
        <is>
          <t>Salzburg</t>
        </is>
      </c>
      <c r="E38" s="4" t="inlineStr">
        <is>
          <t>tren ~1h30</t>
        </is>
      </c>
      <c r="F38" s="6">
        <f>IFERROR(IF(INDEX('Dus-intors'!F:F,MATCH("MUC",'Dus-intors'!A:A,0))="","",INDEX('Dus-intors'!F:F,MATCH("MUC",'Dus-intors'!A:A,0))),"")</f>
        <v/>
      </c>
      <c r="G38" s="6">
        <f>IFERROR(IF(INDEX('Dus-intors'!G:G,MATCH("MUC",'Dus-intors'!A:A,0))="","",INDEX('Dus-intors'!G:G,MATCH("MUC",'Dus-intors'!A:A,0))),"")</f>
        <v/>
      </c>
      <c r="H38" s="6">
        <f>IFERROR(IF(INDEX('Dus-intors'!H:H,MATCH("SZG",'Dus-intors'!A:A,0))="","",INDEX('Dus-intors'!H:H,MATCH("SZG",'Dus-intors'!A:A,0))),"")</f>
        <v/>
      </c>
      <c r="I38" s="6">
        <f>IFERROR(IF(INDEX('Dus-intors'!I:I,MATCH("SZG",'Dus-intors'!A:A,0))="","",INDEX('Dus-intors'!I:I,MATCH("SZG",'Dus-intors'!A:A,0))),"")</f>
        <v/>
      </c>
      <c r="J38" s="5" t="n"/>
      <c r="K38" s="6">
        <f>IF(OR(COUNT(F38:G38)=0,COUNT(H38:I38)=0),"",MIN(F38:G38)+MIN(H38:I38)+N(J38))</f>
        <v/>
      </c>
      <c r="L38" s="8">
        <f>IF(K38="","",IF(F38=MIN(F38:G38),"26.11","27.11")&amp;" → "&amp;IF(H38=MIN(H38:I38),"30.11","01.12"))</f>
        <v/>
      </c>
    </row>
    <row r="39">
      <c r="A39" s="4" t="inlineStr">
        <is>
          <t>BGY</t>
        </is>
      </c>
      <c r="B39" s="4" t="inlineStr">
        <is>
          <t>Milano Bergamo</t>
        </is>
      </c>
      <c r="C39" s="4" t="inlineStr">
        <is>
          <t>TSF</t>
        </is>
      </c>
      <c r="D39" s="4" t="inlineStr">
        <is>
          <t>Treviso (Veneția)</t>
        </is>
      </c>
      <c r="E39" s="4" t="inlineStr">
        <is>
          <t>tren ~2h30 via Verona</t>
        </is>
      </c>
      <c r="F39" s="6">
        <f>IFERROR(IF(INDEX('Dus-intors'!F:F,MATCH("BGY",'Dus-intors'!A:A,0))="","",INDEX('Dus-intors'!F:F,MATCH("BGY",'Dus-intors'!A:A,0))),"")</f>
        <v/>
      </c>
      <c r="G39" s="6">
        <f>IFERROR(IF(INDEX('Dus-intors'!G:G,MATCH("BGY",'Dus-intors'!A:A,0))="","",INDEX('Dus-intors'!G:G,MATCH("BGY",'Dus-intors'!A:A,0))),"")</f>
        <v/>
      </c>
      <c r="H39" s="6">
        <f>IFERROR(IF(INDEX('Dus-intors'!H:H,MATCH("TSF",'Dus-intors'!A:A,0))="","",INDEX('Dus-intors'!H:H,MATCH("TSF",'Dus-intors'!A:A,0))),"")</f>
        <v/>
      </c>
      <c r="I39" s="6">
        <f>IFERROR(IF(INDEX('Dus-intors'!I:I,MATCH("TSF",'Dus-intors'!A:A,0))="","",INDEX('Dus-intors'!I:I,MATCH("TSF",'Dus-intors'!A:A,0))),"")</f>
        <v/>
      </c>
      <c r="J39" s="5" t="n"/>
      <c r="K39" s="6">
        <f>IF(OR(COUNT(F39:G39)=0,COUNT(H39:I39)=0),"",MIN(F39:G39)+MIN(H39:I39)+N(J39))</f>
        <v/>
      </c>
      <c r="L39" s="8">
        <f>IF(K39="","",IF(F39=MIN(F39:G39),"26.11","27.11")&amp;" → "&amp;IF(H39=MIN(H39:I39),"30.11","01.12"))</f>
        <v/>
      </c>
    </row>
    <row r="40">
      <c r="A40" s="4" t="inlineStr">
        <is>
          <t>TSF</t>
        </is>
      </c>
      <c r="B40" s="4" t="inlineStr">
        <is>
          <t>Treviso (Veneția)</t>
        </is>
      </c>
      <c r="C40" s="4" t="inlineStr">
        <is>
          <t>BGY</t>
        </is>
      </c>
      <c r="D40" s="4" t="inlineStr">
        <is>
          <t>Milano Bergamo</t>
        </is>
      </c>
      <c r="E40" s="4" t="inlineStr">
        <is>
          <t>tren ~2h30</t>
        </is>
      </c>
      <c r="F40" s="6">
        <f>IFERROR(IF(INDEX('Dus-intors'!F:F,MATCH("TSF",'Dus-intors'!A:A,0))="","",INDEX('Dus-intors'!F:F,MATCH("TSF",'Dus-intors'!A:A,0))),"")</f>
        <v/>
      </c>
      <c r="G40" s="6">
        <f>IFERROR(IF(INDEX('Dus-intors'!G:G,MATCH("TSF",'Dus-intors'!A:A,0))="","",INDEX('Dus-intors'!G:G,MATCH("TSF",'Dus-intors'!A:A,0))),"")</f>
        <v/>
      </c>
      <c r="H40" s="6">
        <f>IFERROR(IF(INDEX('Dus-intors'!H:H,MATCH("BGY",'Dus-intors'!A:A,0))="","",INDEX('Dus-intors'!H:H,MATCH("BGY",'Dus-intors'!A:A,0))),"")</f>
        <v/>
      </c>
      <c r="I40" s="6">
        <f>IFERROR(IF(INDEX('Dus-intors'!I:I,MATCH("BGY",'Dus-intors'!A:A,0))="","",INDEX('Dus-intors'!I:I,MATCH("BGY",'Dus-intors'!A:A,0))),"")</f>
        <v/>
      </c>
      <c r="J40" s="5" t="n"/>
      <c r="K40" s="6">
        <f>IF(OR(COUNT(F40:G40)=0,COUNT(H40:I40)=0),"",MIN(F40:G40)+MIN(H40:I40)+N(J40))</f>
        <v/>
      </c>
      <c r="L40" s="8">
        <f>IF(K40="","",IF(F40=MIN(F40:G40),"26.11","27.11")&amp;" → "&amp;IF(H40=MIN(H40:I40),"30.11","01.12"))</f>
        <v/>
      </c>
    </row>
    <row r="41">
      <c r="A41" s="4" t="inlineStr">
        <is>
          <t>VRN</t>
        </is>
      </c>
      <c r="B41" s="4" t="inlineStr">
        <is>
          <t>Verona</t>
        </is>
      </c>
      <c r="C41" s="4" t="inlineStr">
        <is>
          <t>BGY</t>
        </is>
      </c>
      <c r="D41" s="4" t="inlineStr">
        <is>
          <t>Milano Bergamo</t>
        </is>
      </c>
      <c r="E41" s="4" t="inlineStr">
        <is>
          <t>tren ~1h30</t>
        </is>
      </c>
      <c r="F41" s="6">
        <f>IFERROR(IF(INDEX('Dus-intors'!F:F,MATCH("VRN",'Dus-intors'!A:A,0))="","",INDEX('Dus-intors'!F:F,MATCH("VRN",'Dus-intors'!A:A,0))),"")</f>
        <v/>
      </c>
      <c r="G41" s="6">
        <f>IFERROR(IF(INDEX('Dus-intors'!G:G,MATCH("VRN",'Dus-intors'!A:A,0))="","",INDEX('Dus-intors'!G:G,MATCH("VRN",'Dus-intors'!A:A,0))),"")</f>
        <v/>
      </c>
      <c r="H41" s="6">
        <f>IFERROR(IF(INDEX('Dus-intors'!H:H,MATCH("BGY",'Dus-intors'!A:A,0))="","",INDEX('Dus-intors'!H:H,MATCH("BGY",'Dus-intors'!A:A,0))),"")</f>
        <v/>
      </c>
      <c r="I41" s="6">
        <f>IFERROR(IF(INDEX('Dus-intors'!I:I,MATCH("BGY",'Dus-intors'!A:A,0))="","",INDEX('Dus-intors'!I:I,MATCH("BGY",'Dus-intors'!A:A,0))),"")</f>
        <v/>
      </c>
      <c r="J41" s="5" t="n"/>
      <c r="K41" s="6">
        <f>IF(OR(COUNT(F41:G41)=0,COUNT(H41:I41)=0),"",MIN(F41:G41)+MIN(H41:I41)+N(J41))</f>
        <v/>
      </c>
      <c r="L41" s="8">
        <f>IF(K41="","",IF(F41=MIN(F41:G41),"26.11","27.11")&amp;" → "&amp;IF(H41=MIN(H41:I41),"30.11","01.12"))</f>
        <v/>
      </c>
    </row>
    <row r="42">
      <c r="A42" s="4" t="inlineStr">
        <is>
          <t>BGY</t>
        </is>
      </c>
      <c r="B42" s="4" t="inlineStr">
        <is>
          <t>Milano Bergamo</t>
        </is>
      </c>
      <c r="C42" s="4" t="inlineStr">
        <is>
          <t>VRN</t>
        </is>
      </c>
      <c r="D42" s="4" t="inlineStr">
        <is>
          <t>Verona</t>
        </is>
      </c>
      <c r="E42" s="4" t="inlineStr">
        <is>
          <t>tren ~1h30</t>
        </is>
      </c>
      <c r="F42" s="6">
        <f>IFERROR(IF(INDEX('Dus-intors'!F:F,MATCH("BGY",'Dus-intors'!A:A,0))="","",INDEX('Dus-intors'!F:F,MATCH("BGY",'Dus-intors'!A:A,0))),"")</f>
        <v/>
      </c>
      <c r="G42" s="6">
        <f>IFERROR(IF(INDEX('Dus-intors'!G:G,MATCH("BGY",'Dus-intors'!A:A,0))="","",INDEX('Dus-intors'!G:G,MATCH("BGY",'Dus-intors'!A:A,0))),"")</f>
        <v/>
      </c>
      <c r="H42" s="6">
        <f>IFERROR(IF(INDEX('Dus-intors'!H:H,MATCH("VRN",'Dus-intors'!A:A,0))="","",INDEX('Dus-intors'!H:H,MATCH("VRN",'Dus-intors'!A:A,0))),"")</f>
        <v/>
      </c>
      <c r="I42" s="6">
        <f>IFERROR(IF(INDEX('Dus-intors'!I:I,MATCH("VRN",'Dus-intors'!A:A,0))="","",INDEX('Dus-intors'!I:I,MATCH("VRN",'Dus-intors'!A:A,0))),"")</f>
        <v/>
      </c>
      <c r="J42" s="5" t="n"/>
      <c r="K42" s="6">
        <f>IF(OR(COUNT(F42:G42)=0,COUNT(H42:I42)=0),"",MIN(F42:G42)+MIN(H42:I42)+N(J42))</f>
        <v/>
      </c>
      <c r="L42" s="8">
        <f>IF(K42="","",IF(F42=MIN(F42:G42),"26.11","27.11")&amp;" → "&amp;IF(H42=MIN(H42:I42),"30.11","01.12"))</f>
        <v/>
      </c>
    </row>
    <row r="43">
      <c r="A43" s="4" t="inlineStr">
        <is>
          <t>MXP</t>
        </is>
      </c>
      <c r="B43" s="4" t="inlineStr">
        <is>
          <t>Milano Malpensa</t>
        </is>
      </c>
      <c r="C43" s="4" t="inlineStr">
        <is>
          <t>BGY</t>
        </is>
      </c>
      <c r="D43" s="4" t="inlineStr">
        <is>
          <t>Milano Bergamo</t>
        </is>
      </c>
      <c r="E43" s="4" t="inlineStr">
        <is>
          <t>autobuz ~1h30</t>
        </is>
      </c>
      <c r="F43" s="6">
        <f>IFERROR(IF(INDEX('Dus-intors'!F:F,MATCH("MXP",'Dus-intors'!A:A,0))="","",INDEX('Dus-intors'!F:F,MATCH("MXP",'Dus-intors'!A:A,0))),"")</f>
        <v/>
      </c>
      <c r="G43" s="6">
        <f>IFERROR(IF(INDEX('Dus-intors'!G:G,MATCH("MXP",'Dus-intors'!A:A,0))="","",INDEX('Dus-intors'!G:G,MATCH("MXP",'Dus-intors'!A:A,0))),"")</f>
        <v/>
      </c>
      <c r="H43" s="6">
        <f>IFERROR(IF(INDEX('Dus-intors'!H:H,MATCH("BGY",'Dus-intors'!A:A,0))="","",INDEX('Dus-intors'!H:H,MATCH("BGY",'Dus-intors'!A:A,0))),"")</f>
        <v/>
      </c>
      <c r="I43" s="6">
        <f>IFERROR(IF(INDEX('Dus-intors'!I:I,MATCH("BGY",'Dus-intors'!A:A,0))="","",INDEX('Dus-intors'!I:I,MATCH("BGY",'Dus-intors'!A:A,0))),"")</f>
        <v/>
      </c>
      <c r="J43" s="5" t="n"/>
      <c r="K43" s="6">
        <f>IF(OR(COUNT(F43:G43)=0,COUNT(H43:I43)=0),"",MIN(F43:G43)+MIN(H43:I43)+N(J43))</f>
        <v/>
      </c>
      <c r="L43" s="8">
        <f>IF(K43="","",IF(F43=MIN(F43:G43),"26.11","27.11")&amp;" → "&amp;IF(H43=MIN(H43:I43),"30.11","01.12"))</f>
        <v/>
      </c>
    </row>
    <row r="44">
      <c r="A44" s="4" t="inlineStr">
        <is>
          <t>INN</t>
        </is>
      </c>
      <c r="B44" s="4" t="inlineStr">
        <is>
          <t>Innsbruck</t>
        </is>
      </c>
      <c r="C44" s="4" t="inlineStr">
        <is>
          <t>MUC</t>
        </is>
      </c>
      <c r="D44" s="4" t="inlineStr">
        <is>
          <t>München</t>
        </is>
      </c>
      <c r="E44" s="4" t="inlineStr">
        <is>
          <t>tren ~1h45</t>
        </is>
      </c>
      <c r="F44" s="6">
        <f>IFERROR(IF(INDEX('Dus-intors'!F:F,MATCH("INN",'Dus-intors'!A:A,0))="","",INDEX('Dus-intors'!F:F,MATCH("INN",'Dus-intors'!A:A,0))),"")</f>
        <v/>
      </c>
      <c r="G44" s="6">
        <f>IFERROR(IF(INDEX('Dus-intors'!G:G,MATCH("INN",'Dus-intors'!A:A,0))="","",INDEX('Dus-intors'!G:G,MATCH("INN",'Dus-intors'!A:A,0))),"")</f>
        <v/>
      </c>
      <c r="H44" s="6">
        <f>IFERROR(IF(INDEX('Dus-intors'!H:H,MATCH("MUC",'Dus-intors'!A:A,0))="","",INDEX('Dus-intors'!H:H,MATCH("MUC",'Dus-intors'!A:A,0))),"")</f>
        <v/>
      </c>
      <c r="I44" s="6">
        <f>IFERROR(IF(INDEX('Dus-intors'!I:I,MATCH("MUC",'Dus-intors'!A:A,0))="","",INDEX('Dus-intors'!I:I,MATCH("MUC",'Dus-intors'!A:A,0))),"")</f>
        <v/>
      </c>
      <c r="J44" s="5" t="n"/>
      <c r="K44" s="6">
        <f>IF(OR(COUNT(F44:G44)=0,COUNT(H44:I44)=0),"",MIN(F44:G44)+MIN(H44:I44)+N(J44))</f>
        <v/>
      </c>
      <c r="L44" s="8">
        <f>IF(K44="","",IF(F44=MIN(F44:G44),"26.11","27.11")&amp;" → "&amp;IF(H44=MIN(H44:I44),"30.11","01.12"))</f>
        <v/>
      </c>
    </row>
    <row r="45">
      <c r="A45" s="4" t="inlineStr">
        <is>
          <t>MUC</t>
        </is>
      </c>
      <c r="B45" s="4" t="inlineStr">
        <is>
          <t>München</t>
        </is>
      </c>
      <c r="C45" s="4" t="inlineStr">
        <is>
          <t>INN</t>
        </is>
      </c>
      <c r="D45" s="4" t="inlineStr">
        <is>
          <t>Innsbruck</t>
        </is>
      </c>
      <c r="E45" s="4" t="inlineStr">
        <is>
          <t>tren ~1h45</t>
        </is>
      </c>
      <c r="F45" s="6">
        <f>IFERROR(IF(INDEX('Dus-intors'!F:F,MATCH("MUC",'Dus-intors'!A:A,0))="","",INDEX('Dus-intors'!F:F,MATCH("MUC",'Dus-intors'!A:A,0))),"")</f>
        <v/>
      </c>
      <c r="G45" s="6">
        <f>IFERROR(IF(INDEX('Dus-intors'!G:G,MATCH("MUC",'Dus-intors'!A:A,0))="","",INDEX('Dus-intors'!G:G,MATCH("MUC",'Dus-intors'!A:A,0))),"")</f>
        <v/>
      </c>
      <c r="H45" s="6">
        <f>IFERROR(IF(INDEX('Dus-intors'!H:H,MATCH("INN",'Dus-intors'!A:A,0))="","",INDEX('Dus-intors'!H:H,MATCH("INN",'Dus-intors'!A:A,0))),"")</f>
        <v/>
      </c>
      <c r="I45" s="6">
        <f>IFERROR(IF(INDEX('Dus-intors'!I:I,MATCH("INN",'Dus-intors'!A:A,0))="","",INDEX('Dus-intors'!I:I,MATCH("INN",'Dus-intors'!A:A,0))),"")</f>
        <v/>
      </c>
      <c r="J45" s="5" t="n"/>
      <c r="K45" s="6">
        <f>IF(OR(COUNT(F45:G45)=0,COUNT(H45:I45)=0),"",MIN(F45:G45)+MIN(H45:I45)+N(J45))</f>
        <v/>
      </c>
      <c r="L45" s="8">
        <f>IF(K45="","",IF(F45=MIN(F45:G45),"26.11","27.11")&amp;" → "&amp;IF(H45=MIN(H45:I45),"30.11","01.12"))</f>
        <v/>
      </c>
    </row>
    <row r="46">
      <c r="A46" s="4" t="inlineStr">
        <is>
          <t>LYS</t>
        </is>
      </c>
      <c r="B46" s="4" t="inlineStr">
        <is>
          <t>Lyon</t>
        </is>
      </c>
      <c r="C46" s="4" t="inlineStr">
        <is>
          <t>GVA</t>
        </is>
      </c>
      <c r="D46" s="4" t="inlineStr">
        <is>
          <t>Geneva</t>
        </is>
      </c>
      <c r="E46" s="4" t="inlineStr">
        <is>
          <t>tren/autocar ~2h</t>
        </is>
      </c>
      <c r="F46" s="6">
        <f>IFERROR(IF(INDEX('Dus-intors'!F:F,MATCH("LYS",'Dus-intors'!A:A,0))="","",INDEX('Dus-intors'!F:F,MATCH("LYS",'Dus-intors'!A:A,0))),"")</f>
        <v/>
      </c>
      <c r="G46" s="6">
        <f>IFERROR(IF(INDEX('Dus-intors'!G:G,MATCH("LYS",'Dus-intors'!A:A,0))="","",INDEX('Dus-intors'!G:G,MATCH("LYS",'Dus-intors'!A:A,0))),"")</f>
        <v/>
      </c>
      <c r="H46" s="6">
        <f>IFERROR(IF(INDEX('Dus-intors'!H:H,MATCH("GVA",'Dus-intors'!A:A,0))="","",INDEX('Dus-intors'!H:H,MATCH("GVA",'Dus-intors'!A:A,0))),"")</f>
        <v/>
      </c>
      <c r="I46" s="6">
        <f>IFERROR(IF(INDEX('Dus-intors'!I:I,MATCH("GVA",'Dus-intors'!A:A,0))="","",INDEX('Dus-intors'!I:I,MATCH("GVA",'Dus-intors'!A:A,0))),"")</f>
        <v/>
      </c>
      <c r="J46" s="5" t="n"/>
      <c r="K46" s="6">
        <f>IF(OR(COUNT(F46:G46)=0,COUNT(H46:I46)=0),"",MIN(F46:G46)+MIN(H46:I46)+N(J46))</f>
        <v/>
      </c>
      <c r="L46" s="8">
        <f>IF(K46="","",IF(F46=MIN(F46:G46),"26.11","27.11")&amp;" → "&amp;IF(H46=MIN(H46:I46),"30.11","01.12"))</f>
        <v/>
      </c>
    </row>
    <row r="47">
      <c r="A47" s="4" t="inlineStr">
        <is>
          <t>GVA</t>
        </is>
      </c>
      <c r="B47" s="4" t="inlineStr">
        <is>
          <t>Geneva</t>
        </is>
      </c>
      <c r="C47" s="4" t="inlineStr">
        <is>
          <t>LYS</t>
        </is>
      </c>
      <c r="D47" s="4" t="inlineStr">
        <is>
          <t>Lyon</t>
        </is>
      </c>
      <c r="E47" s="4" t="inlineStr">
        <is>
          <t>tren/autocar ~2h</t>
        </is>
      </c>
      <c r="F47" s="6">
        <f>IFERROR(IF(INDEX('Dus-intors'!F:F,MATCH("GVA",'Dus-intors'!A:A,0))="","",INDEX('Dus-intors'!F:F,MATCH("GVA",'Dus-intors'!A:A,0))),"")</f>
        <v/>
      </c>
      <c r="G47" s="6">
        <f>IFERROR(IF(INDEX('Dus-intors'!G:G,MATCH("GVA",'Dus-intors'!A:A,0))="","",INDEX('Dus-intors'!G:G,MATCH("GVA",'Dus-intors'!A:A,0))),"")</f>
        <v/>
      </c>
      <c r="H47" s="6">
        <f>IFERROR(IF(INDEX('Dus-intors'!H:H,MATCH("LYS",'Dus-intors'!A:A,0))="","",INDEX('Dus-intors'!H:H,MATCH("LYS",'Dus-intors'!A:A,0))),"")</f>
        <v/>
      </c>
      <c r="I47" s="6">
        <f>IFERROR(IF(INDEX('Dus-intors'!I:I,MATCH("LYS",'Dus-intors'!A:A,0))="","",INDEX('Dus-intors'!I:I,MATCH("LYS",'Dus-intors'!A:A,0))),"")</f>
        <v/>
      </c>
      <c r="J47" s="5" t="n"/>
      <c r="K47" s="6">
        <f>IF(OR(COUNT(F47:G47)=0,COUNT(H47:I47)=0),"",MIN(F47:G47)+MIN(H47:I47)+N(J47))</f>
        <v/>
      </c>
      <c r="L47" s="8">
        <f>IF(K47="","",IF(F47=MIN(F47:G47),"26.11","27.11")&amp;" → "&amp;IF(H47=MIN(H47:I47),"30.11","01.12"))</f>
        <v/>
      </c>
    </row>
    <row r="48">
      <c r="A48" s="4" t="inlineStr">
        <is>
          <t>GVA</t>
        </is>
      </c>
      <c r="B48" s="4" t="inlineStr">
        <is>
          <t>Geneva</t>
        </is>
      </c>
      <c r="C48" s="4" t="inlineStr">
        <is>
          <t>BSL</t>
        </is>
      </c>
      <c r="D48" s="4" t="inlineStr">
        <is>
          <t>Basel/Mulhouse</t>
        </is>
      </c>
      <c r="E48" s="4" t="inlineStr">
        <is>
          <t>tren ~2h40</t>
        </is>
      </c>
      <c r="F48" s="6">
        <f>IFERROR(IF(INDEX('Dus-intors'!F:F,MATCH("GVA",'Dus-intors'!A:A,0))="","",INDEX('Dus-intors'!F:F,MATCH("GVA",'Dus-intors'!A:A,0))),"")</f>
        <v/>
      </c>
      <c r="G48" s="6">
        <f>IFERROR(IF(INDEX('Dus-intors'!G:G,MATCH("GVA",'Dus-intors'!A:A,0))="","",INDEX('Dus-intors'!G:G,MATCH("GVA",'Dus-intors'!A:A,0))),"")</f>
        <v/>
      </c>
      <c r="H48" s="6">
        <f>IFERROR(IF(INDEX('Dus-intors'!H:H,MATCH("BSL",'Dus-intors'!A:A,0))="","",INDEX('Dus-intors'!H:H,MATCH("BSL",'Dus-intors'!A:A,0))),"")</f>
        <v/>
      </c>
      <c r="I48" s="6">
        <f>IFERROR(IF(INDEX('Dus-intors'!I:I,MATCH("BSL",'Dus-intors'!A:A,0))="","",INDEX('Dus-intors'!I:I,MATCH("BSL",'Dus-intors'!A:A,0))),"")</f>
        <v/>
      </c>
      <c r="J48" s="5" t="n"/>
      <c r="K48" s="6">
        <f>IF(OR(COUNT(F48:G48)=0,COUNT(H48:I48)=0),"",MIN(F48:G48)+MIN(H48:I48)+N(J48))</f>
        <v/>
      </c>
      <c r="L48" s="8">
        <f>IF(K48="","",IF(F48=MIN(F48:G48),"26.11","27.11")&amp;" → "&amp;IF(H48=MIN(H48:I48),"30.11","01.12"))</f>
        <v/>
      </c>
    </row>
  </sheetData>
  <autoFilter ref="A3:L48"/>
  <conditionalFormatting sqref="K4:K4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8" customWidth="1" min="4" max="4"/>
  </cols>
  <sheetData>
    <row r="1">
      <c r="A1" s="1" t="inlineStr">
        <is>
          <t>Cele mai ieftine 10 variante dus-întors (se actualizează singur)</t>
        </is>
      </c>
    </row>
    <row r="3">
      <c r="A3" s="3" t="inlineStr">
        <is>
          <t>Loc</t>
        </is>
      </c>
      <c r="B3" s="3" t="inlineStr">
        <is>
          <t>Destinație</t>
        </is>
      </c>
      <c r="C3" s="3" t="inlineStr">
        <is>
          <t>Total minim (RON)</t>
        </is>
      </c>
      <c r="D3" s="3" t="inlineStr">
        <is>
          <t>Zile</t>
        </is>
      </c>
    </row>
    <row r="4">
      <c r="A4" s="4" t="n">
        <v>1</v>
      </c>
      <c r="B4" s="4">
        <f>IF(C4="","",INDEX('Dus-intors'!B$4:B$39,MATCH(C4,'Dus-intors'!L$4:L$39,0)))</f>
        <v/>
      </c>
      <c r="C4" s="9">
        <f>IFERROR(SMALL('Dus-intors'!L$4:L$39,1),"")</f>
        <v/>
      </c>
      <c r="D4" s="4">
        <f>IF(C4="","",INDEX('Dus-intors'!M$4:M$39,MATCH(C4,'Dus-intors'!L$4:L$39,0)))</f>
        <v/>
      </c>
    </row>
    <row r="5">
      <c r="A5" s="4" t="n">
        <v>2</v>
      </c>
      <c r="B5" s="4">
        <f>IF(C5="","",INDEX('Dus-intors'!B$4:B$39,MATCH(C5,'Dus-intors'!L$4:L$39,0)))</f>
        <v/>
      </c>
      <c r="C5" s="9">
        <f>IFERROR(SMALL('Dus-intors'!L$4:L$39,2),"")</f>
        <v/>
      </c>
      <c r="D5" s="4">
        <f>IF(C5="","",INDEX('Dus-intors'!M$4:M$39,MATCH(C5,'Dus-intors'!L$4:L$39,0)))</f>
        <v/>
      </c>
    </row>
    <row r="6">
      <c r="A6" s="4" t="n">
        <v>3</v>
      </c>
      <c r="B6" s="4">
        <f>IF(C6="","",INDEX('Dus-intors'!B$4:B$39,MATCH(C6,'Dus-intors'!L$4:L$39,0)))</f>
        <v/>
      </c>
      <c r="C6" s="9">
        <f>IFERROR(SMALL('Dus-intors'!L$4:L$39,3),"")</f>
        <v/>
      </c>
      <c r="D6" s="4">
        <f>IF(C6="","",INDEX('Dus-intors'!M$4:M$39,MATCH(C6,'Dus-intors'!L$4:L$39,0)))</f>
        <v/>
      </c>
    </row>
    <row r="7">
      <c r="A7" s="4" t="n">
        <v>4</v>
      </c>
      <c r="B7" s="4">
        <f>IF(C7="","",INDEX('Dus-intors'!B$4:B$39,MATCH(C7,'Dus-intors'!L$4:L$39,0)))</f>
        <v/>
      </c>
      <c r="C7" s="9">
        <f>IFERROR(SMALL('Dus-intors'!L$4:L$39,4),"")</f>
        <v/>
      </c>
      <c r="D7" s="4">
        <f>IF(C7="","",INDEX('Dus-intors'!M$4:M$39,MATCH(C7,'Dus-intors'!L$4:L$39,0)))</f>
        <v/>
      </c>
    </row>
    <row r="8">
      <c r="A8" s="4" t="n">
        <v>5</v>
      </c>
      <c r="B8" s="4">
        <f>IF(C8="","",INDEX('Dus-intors'!B$4:B$39,MATCH(C8,'Dus-intors'!L$4:L$39,0)))</f>
        <v/>
      </c>
      <c r="C8" s="9">
        <f>IFERROR(SMALL('Dus-intors'!L$4:L$39,5),"")</f>
        <v/>
      </c>
      <c r="D8" s="4">
        <f>IF(C8="","",INDEX('Dus-intors'!M$4:M$39,MATCH(C8,'Dus-intors'!L$4:L$39,0)))</f>
        <v/>
      </c>
    </row>
    <row r="9">
      <c r="A9" s="4" t="n">
        <v>6</v>
      </c>
      <c r="B9" s="4">
        <f>IF(C9="","",INDEX('Dus-intors'!B$4:B$39,MATCH(C9,'Dus-intors'!L$4:L$39,0)))</f>
        <v/>
      </c>
      <c r="C9" s="9">
        <f>IFERROR(SMALL('Dus-intors'!L$4:L$39,6),"")</f>
        <v/>
      </c>
      <c r="D9" s="4">
        <f>IF(C9="","",INDEX('Dus-intors'!M$4:M$39,MATCH(C9,'Dus-intors'!L$4:L$39,0)))</f>
        <v/>
      </c>
    </row>
    <row r="10">
      <c r="A10" s="4" t="n">
        <v>7</v>
      </c>
      <c r="B10" s="4">
        <f>IF(C10="","",INDEX('Dus-intors'!B$4:B$39,MATCH(C10,'Dus-intors'!L$4:L$39,0)))</f>
        <v/>
      </c>
      <c r="C10" s="9">
        <f>IFERROR(SMALL('Dus-intors'!L$4:L$39,7),"")</f>
        <v/>
      </c>
      <c r="D10" s="4">
        <f>IF(C10="","",INDEX('Dus-intors'!M$4:M$39,MATCH(C10,'Dus-intors'!L$4:L$39,0)))</f>
        <v/>
      </c>
    </row>
    <row r="11">
      <c r="A11" s="4" t="n">
        <v>8</v>
      </c>
      <c r="B11" s="4">
        <f>IF(C11="","",INDEX('Dus-intors'!B$4:B$39,MATCH(C11,'Dus-intors'!L$4:L$39,0)))</f>
        <v/>
      </c>
      <c r="C11" s="9">
        <f>IFERROR(SMALL('Dus-intors'!L$4:L$39,8),"")</f>
        <v/>
      </c>
      <c r="D11" s="4">
        <f>IF(C11="","",INDEX('Dus-intors'!M$4:M$39,MATCH(C11,'Dus-intors'!L$4:L$39,0)))</f>
        <v/>
      </c>
    </row>
    <row r="12">
      <c r="A12" s="4" t="n">
        <v>9</v>
      </c>
      <c r="B12" s="4">
        <f>IF(C12="","",INDEX('Dus-intors'!B$4:B$39,MATCH(C12,'Dus-intors'!L$4:L$39,0)))</f>
        <v/>
      </c>
      <c r="C12" s="9">
        <f>IFERROR(SMALL('Dus-intors'!L$4:L$39,9),"")</f>
        <v/>
      </c>
      <c r="D12" s="4">
        <f>IF(C12="","",INDEX('Dus-intors'!M$4:M$39,MATCH(C12,'Dus-intors'!L$4:L$39,0)))</f>
        <v/>
      </c>
    </row>
    <row r="13">
      <c r="A13" s="4" t="n">
        <v>10</v>
      </c>
      <c r="B13" s="4">
        <f>IF(C13="","",INDEX('Dus-intors'!B$4:B$39,MATCH(C13,'Dus-intors'!L$4:L$39,0)))</f>
        <v/>
      </c>
      <c r="C13" s="9">
        <f>IFERROR(SMALL('Dus-intors'!L$4:L$39,10),"")</f>
        <v/>
      </c>
      <c r="D13" s="4">
        <f>IF(C13="","",INDEX('Dus-intors'!M$4:M$39,MATCH(C13,'Dus-intors'!L$4:L$39,0)))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Sfaturi de căutare</t>
        </is>
      </c>
    </row>
    <row r="3">
      <c r="A3" s="10" t="inlineStr">
        <is>
          <t>• Prima duminică din Advent 2026 = 29.11 → majoritatea târgurilor germane sunt deschise de pe 23–27.11 (Nürnberg: vineri 27.11; Viena/Köln/München: deja deschise). Verifică data exactă pe site-ul târgului.</t>
        </is>
      </c>
    </row>
    <row r="4">
      <c r="A4" s="10" t="inlineStr">
        <is>
          <t>• Ryanair: folosește calendarul de tarife (Fare Finder) pe ryanair.com cu plecare OTP și perioada 26.11–01.12 – îți arată toate destinațiile cu prețul minim pe zi.</t>
        </is>
      </c>
    </row>
    <row r="5">
      <c r="A5" s="10" t="inlineStr">
        <is>
          <t>• Wizz: secțiunea 'Hartă zboruri' / 'Cheap flights' pe wizzair.com, plecare București, filtru nov–dec.</t>
        </is>
      </c>
    </row>
    <row r="6">
      <c r="A6" s="10" t="inlineStr">
        <is>
          <t>• Google Flights → Explore, plecare 'București', date flexibile 26.11–01.12, filtru Europa: vezi toate destinațiile pe hartă cu prețul.</t>
        </is>
      </c>
    </row>
    <row r="7">
      <c r="A7" s="10" t="inlineStr">
        <is>
          <t>• Kiwi.com și azair.eu permit căutare 'oriunde' + combinații open-jaw automate.</t>
        </is>
      </c>
    </row>
    <row r="8">
      <c r="A8" s="10" t="inlineStr">
        <is>
          <t>• Verifică ambele aeroporturi: Otopeni (OTP) și Băneasa (BBU) – Wizz a mutat unele rute pe Băneasa.</t>
        </is>
      </c>
    </row>
    <row r="9">
      <c r="A9" s="10" t="inlineStr">
        <is>
          <t>• Prețurile low-cost nu includ bagaj de cală / troller – compară cu bagajul de care ai nevoie.</t>
        </is>
      </c>
    </row>
    <row r="10">
      <c r="A10" s="10" t="inlineStr">
        <is>
          <t>• Ryanair a anunțat tăieri de rute în Germania și Franța pentru 2026 (ex. Strasbourg, Dortmund, Leipzig) – coloana 'Rută verificată?' te ajută să elimini rutele care nu mai zboară.</t>
        </is>
      </c>
    </row>
    <row r="11">
      <c r="A11" s="10" t="inlineStr">
        <is>
          <t>• Memmingen e bun: München la 1h30 cu trenul (Deutschlandticket/Bayern-Ticket), Augsburg, Lindau și Neuschwanstein aproape.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2026-10-20T13:07:02Z</dcterms:created>
  <dcterms:modified xmlns:dcterms="http://purl.org/dc/terms/" xmlns:xsi="http://www.w3.org/2001/XMLSchema-instance" xsi:type="dcterms:W3CDTF">2026-10-20T13:07:02Z</dcterms:modified>
</cp:coreProperties>
</file>